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odel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Ballot Record" sheetId="3" state="visible" r:id="rId3"/>
    <sheet xmlns:r="http://schemas.openxmlformats.org/officeDocument/2006/relationships" name="Elections" sheetId="4" state="visible" r:id="rId4"/>
    <sheet xmlns:r="http://schemas.openxmlformats.org/officeDocument/2006/relationships" name="Pains Register" sheetId="5" state="visible" r:id="rId5"/>
    <sheet xmlns:r="http://schemas.openxmlformats.org/officeDocument/2006/relationships" name="Tax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F5E5A"/>
      <sz val="9"/>
    </font>
    <font>
      <b val="1"/>
      <color rgb="00FFFFFF"/>
      <sz val="11"/>
    </font>
    <font>
      <b val="1"/>
    </font>
    <font>
      <b val="1"/>
      <color rgb="000F6E56"/>
    </font>
    <font>
      <b val="1"/>
      <color rgb="00993C1D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vs Default Budget</a:t>
            </a:r>
          </a:p>
        </rich>
      </tx>
    </title>
    <plotArea>
      <lineChart>
        <grouping val="standard"/>
        <ser>
          <idx val="0"/>
          <order val="0"/>
          <tx>
            <strRef>
              <f>'Budget Model'!B4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 Model'!$A$5:$A$19</f>
            </numRef>
          </cat>
          <val>
            <numRef>
              <f>'Budget Model'!$B$5:$B$19</f>
            </numRef>
          </val>
        </ser>
        <ser>
          <idx val="1"/>
          <order val="1"/>
          <tx>
            <strRef>
              <f>'Budget Model'!C4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 Model'!$A$5:$A$19</f>
            </numRef>
          </cat>
          <val>
            <numRef>
              <f>'Budget Model'!$C$5:$C$19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'Forecast'!$A$11:$A$16</f>
            </numRef>
          </cat>
          <val>
            <numRef>
              <f>'Forecast'!$B$11:$B$16</f>
            </numRef>
          </val>
        </ser>
        <ser>
          <idx val="1"/>
          <order val="1"/>
          <tx>
            <strRef>
              <f>'Forecast'!C10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'Forecast'!$A$11:$A$16</f>
            </numRef>
          </cat>
          <val>
            <numRef>
              <f>'Forecast'!$C$11:$C$16</f>
            </numRef>
          </val>
        </ser>
        <ser>
          <idx val="2"/>
          <order val="2"/>
          <tx>
            <strRef>
              <f>'Forecast'!D10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'Forecast'!$A$11:$A$16</f>
            </numRef>
          </cat>
          <val>
            <numRef>
              <f>'Forecast'!$D$11:$D$16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Swanzey Operating &amp; Default Budget — 2015–2025</t>
        </is>
      </c>
    </row>
    <row r="2">
      <c r="A2" s="2" t="inlineStr">
        <is>
          <t>Source: Town of Swanzey Annual Reports (actual, voted figures). Provenance: real.</t>
        </is>
      </c>
    </row>
    <row r="4">
      <c r="A4" s="3" t="inlineStr">
        <is>
          <t>Year</t>
        </is>
      </c>
      <c r="B4" s="3" t="inlineStr">
        <is>
          <t>Operating Budget</t>
        </is>
      </c>
      <c r="C4" s="3" t="inlineStr">
        <is>
          <t>Default Budget</t>
        </is>
      </c>
      <c r="D4" s="3" t="inlineStr">
        <is>
          <t>YoY %</t>
        </is>
      </c>
      <c r="E4" s="3" t="inlineStr">
        <is>
          <t>Proposed − Default</t>
        </is>
      </c>
      <c r="F4" s="3" t="inlineStr">
        <is>
          <t>Budget % YES</t>
        </is>
      </c>
    </row>
    <row r="5">
      <c r="A5" t="n">
        <v>2011</v>
      </c>
      <c r="B5" s="4" t="n">
        <v>5747885</v>
      </c>
      <c r="C5" s="4" t="n">
        <v>5705757</v>
      </c>
      <c r="E5" s="4">
        <f>B5-C5</f>
        <v/>
      </c>
      <c r="F5" s="5" t="n">
        <v>0.8120000000000001</v>
      </c>
    </row>
    <row r="6">
      <c r="A6" t="n">
        <v>2012</v>
      </c>
      <c r="B6" s="4" t="n">
        <v>5824380</v>
      </c>
      <c r="C6" s="4" t="n">
        <v>5812387</v>
      </c>
      <c r="D6" s="5">
        <f>(B6-B5)/B5</f>
        <v/>
      </c>
      <c r="E6" s="4">
        <f>B6-C6</f>
        <v/>
      </c>
      <c r="F6" s="5" t="n">
        <v>0.801</v>
      </c>
    </row>
    <row r="7">
      <c r="A7" t="n">
        <v>2013</v>
      </c>
      <c r="B7" s="4" t="n">
        <v>5888782</v>
      </c>
      <c r="C7" s="4" t="n">
        <v>5821465</v>
      </c>
      <c r="D7" s="5">
        <f>(B7-B6)/B6</f>
        <v/>
      </c>
      <c r="E7" s="4">
        <f>B7-C7</f>
        <v/>
      </c>
      <c r="F7" s="5" t="n">
        <v>0.769</v>
      </c>
    </row>
    <row r="8">
      <c r="A8" t="n">
        <v>2014</v>
      </c>
      <c r="B8" s="4" t="n">
        <v>6012393</v>
      </c>
      <c r="C8" s="4" t="n">
        <v>5852076</v>
      </c>
      <c r="D8" s="5">
        <f>(B8-B7)/B7</f>
        <v/>
      </c>
      <c r="E8" s="4">
        <f>B8-C8</f>
        <v/>
      </c>
      <c r="F8" s="5" t="n">
        <v>0.8080000000000001</v>
      </c>
    </row>
    <row r="9">
      <c r="A9" t="n">
        <v>2015</v>
      </c>
      <c r="B9" s="4" t="n">
        <v>6262426</v>
      </c>
      <c r="C9" s="4" t="n">
        <v>6067144</v>
      </c>
      <c r="D9" s="5">
        <f>(B9-B8)/B8</f>
        <v/>
      </c>
      <c r="E9" s="4">
        <f>B9-C9</f>
        <v/>
      </c>
      <c r="F9" s="5" t="n">
        <v>0.766</v>
      </c>
    </row>
    <row r="10">
      <c r="A10" t="n">
        <v>2016</v>
      </c>
      <c r="B10" s="4" t="n">
        <v>6210799</v>
      </c>
      <c r="C10" s="4" t="n">
        <v>6222738</v>
      </c>
      <c r="D10" s="5">
        <f>(B10-B9)/B9</f>
        <v/>
      </c>
      <c r="E10" s="4">
        <f>B10-C10</f>
        <v/>
      </c>
      <c r="F10" s="5" t="n">
        <v>0.6830000000000001</v>
      </c>
    </row>
    <row r="11">
      <c r="A11" t="n">
        <v>2017</v>
      </c>
      <c r="B11" s="4" t="n">
        <v>6210799</v>
      </c>
      <c r="C11" s="4" t="n">
        <v>6302525</v>
      </c>
      <c r="D11" s="5">
        <f>(B11-B10)/B10</f>
        <v/>
      </c>
      <c r="E11" s="4">
        <f>B11-C11</f>
        <v/>
      </c>
    </row>
    <row r="12">
      <c r="A12" t="n">
        <v>2018</v>
      </c>
      <c r="B12" s="4" t="n">
        <v>6452435</v>
      </c>
      <c r="C12" s="4" t="n">
        <v>6122397</v>
      </c>
      <c r="D12" s="5">
        <f>(B12-B11)/B11</f>
        <v/>
      </c>
      <c r="E12" s="4">
        <f>B12-C12</f>
        <v/>
      </c>
    </row>
    <row r="13">
      <c r="A13" t="n">
        <v>2019</v>
      </c>
      <c r="B13" s="4" t="n">
        <v>6303000</v>
      </c>
      <c r="C13" s="4" t="n">
        <v>6072735</v>
      </c>
      <c r="D13" s="5">
        <f>(B13-B12)/B12</f>
        <v/>
      </c>
      <c r="E13" s="4">
        <f>B13-C13</f>
        <v/>
      </c>
    </row>
    <row r="14">
      <c r="A14" t="n">
        <v>2020</v>
      </c>
      <c r="B14" s="4" t="n">
        <v>6716500</v>
      </c>
      <c r="C14" s="4" t="n">
        <v>6439109</v>
      </c>
      <c r="D14" s="5">
        <f>(B14-B13)/B13</f>
        <v/>
      </c>
      <c r="E14" s="4">
        <f>B14-C14</f>
        <v/>
      </c>
    </row>
    <row r="15">
      <c r="A15" t="n">
        <v>2021</v>
      </c>
      <c r="B15" s="4" t="n">
        <v>6902500</v>
      </c>
      <c r="C15" s="4" t="n">
        <v>6680348</v>
      </c>
      <c r="D15" s="5">
        <f>(B15-B14)/B14</f>
        <v/>
      </c>
      <c r="E15" s="4">
        <f>B15-C15</f>
        <v/>
      </c>
    </row>
    <row r="16">
      <c r="A16" t="n">
        <v>2022</v>
      </c>
      <c r="B16" s="4" t="n">
        <v>7425000</v>
      </c>
      <c r="C16" s="4" t="n">
        <v>6864706</v>
      </c>
      <c r="D16" s="5">
        <f>(B16-B15)/B15</f>
        <v/>
      </c>
      <c r="E16" s="4">
        <f>B16-C16</f>
        <v/>
      </c>
    </row>
    <row r="17">
      <c r="A17" t="n">
        <v>2023</v>
      </c>
      <c r="B17" s="4" t="n">
        <v>7961500</v>
      </c>
      <c r="C17" s="4" t="n">
        <v>7468834</v>
      </c>
      <c r="D17" s="5">
        <f>(B17-B16)/B16</f>
        <v/>
      </c>
      <c r="E17" s="4">
        <f>B17-C17</f>
        <v/>
      </c>
      <c r="F17" s="5" t="n">
        <v>0.622</v>
      </c>
    </row>
    <row r="18">
      <c r="A18" t="n">
        <v>2024</v>
      </c>
      <c r="B18" s="4" t="n">
        <v>8370000</v>
      </c>
      <c r="C18" s="4" t="n">
        <v>7935699</v>
      </c>
      <c r="D18" s="5">
        <f>(B18-B17)/B17</f>
        <v/>
      </c>
      <c r="E18" s="4">
        <f>B18-C18</f>
        <v/>
      </c>
      <c r="F18" s="5" t="n">
        <v>0.582</v>
      </c>
    </row>
    <row r="19">
      <c r="A19" t="n">
        <v>2025</v>
      </c>
      <c r="B19" s="4" t="n">
        <v>8939036</v>
      </c>
      <c r="C19" s="4" t="n">
        <v>8891785</v>
      </c>
      <c r="D19" s="5">
        <f>(B19-B18)/B18</f>
        <v/>
      </c>
      <c r="E19" s="4">
        <f>B19-C19</f>
        <v/>
      </c>
      <c r="F19" s="5" t="n">
        <v>0.573</v>
      </c>
    </row>
    <row r="21">
      <c r="A21" s="6" t="inlineStr">
        <is>
          <t>Growth 2011→2025</t>
        </is>
      </c>
      <c r="B21" s="5">
        <f>B19/B5-1</f>
        <v/>
      </c>
    </row>
    <row r="22">
      <c r="A22" s="6" t="inlineStr">
        <is>
          <t>Recent CAGR (2021→2025)</t>
        </is>
      </c>
      <c r="B22" s="5">
        <f>(B19/B15)^(1/4)-1</f>
        <v/>
      </c>
    </row>
    <row r="23">
      <c r="A23" s="6" t="inlineStr">
        <is>
          <t>2025 default gap %</t>
        </is>
      </c>
      <c r="B23" s="5">
        <f>E19/B19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Operating Budget Forecast — 2026–2030</t>
        </is>
      </c>
    </row>
    <row r="2">
      <c r="A2" s="2" t="inlineStr">
        <is>
          <t>Modeled. Base 6.0% off the real 2025 voted budget; low 4.5% / high 7.5% (recent CAGR ≈ 6.7%).</t>
        </is>
      </c>
    </row>
    <row r="4">
      <c r="A4" s="6" t="inlineStr">
        <is>
          <t>Assumptions</t>
        </is>
      </c>
    </row>
    <row r="5">
      <c r="A5" t="inlineStr">
        <is>
          <t>Base growth</t>
        </is>
      </c>
      <c r="B5" s="5" t="n">
        <v>0.06</v>
      </c>
    </row>
    <row r="6">
      <c r="A6" t="inlineStr">
        <is>
          <t>Low growth</t>
        </is>
      </c>
      <c r="B6" s="5" t="n">
        <v>0.045</v>
      </c>
    </row>
    <row r="7">
      <c r="A7" t="inlineStr">
        <is>
          <t>High growth</t>
        </is>
      </c>
      <c r="B7" s="5" t="n">
        <v>0.075</v>
      </c>
    </row>
    <row r="8">
      <c r="A8" t="inlineStr">
        <is>
          <t>2025 base</t>
        </is>
      </c>
      <c r="B8" s="4" t="n">
        <v>8939036</v>
      </c>
    </row>
    <row r="10">
      <c r="A10" s="3" t="inlineStr">
        <is>
          <t>Year</t>
        </is>
      </c>
      <c r="B10" s="3" t="inlineStr">
        <is>
          <t>Low (4.5%)</t>
        </is>
      </c>
      <c r="C10" s="3" t="inlineStr">
        <is>
          <t>Base (6.0%)</t>
        </is>
      </c>
      <c r="D10" s="3" t="inlineStr">
        <is>
          <t>High (7.5%)</t>
        </is>
      </c>
    </row>
    <row r="11">
      <c r="A11" t="n">
        <v>2025</v>
      </c>
      <c r="B11" s="4">
        <f>$B$8</f>
        <v/>
      </c>
      <c r="C11" s="4">
        <f>$B$8</f>
        <v/>
      </c>
      <c r="D11" s="4">
        <f>$B$8</f>
        <v/>
      </c>
    </row>
    <row r="12">
      <c r="A12" t="n">
        <v>2026</v>
      </c>
      <c r="B12" s="4">
        <f>B11*(1+$B$6)</f>
        <v/>
      </c>
      <c r="C12" s="4">
        <f>C11*(1+$B$5)</f>
        <v/>
      </c>
      <c r="D12" s="4">
        <f>D11*(1+$B$7)</f>
        <v/>
      </c>
    </row>
    <row r="13">
      <c r="A13" t="n">
        <v>2027</v>
      </c>
      <c r="B13" s="4">
        <f>B12*(1+$B$6)</f>
        <v/>
      </c>
      <c r="C13" s="4">
        <f>C12*(1+$B$5)</f>
        <v/>
      </c>
      <c r="D13" s="4">
        <f>D12*(1+$B$7)</f>
        <v/>
      </c>
    </row>
    <row r="14">
      <c r="A14" t="n">
        <v>2028</v>
      </c>
      <c r="B14" s="4">
        <f>B13*(1+$B$6)</f>
        <v/>
      </c>
      <c r="C14" s="4">
        <f>C13*(1+$B$5)</f>
        <v/>
      </c>
      <c r="D14" s="4">
        <f>D13*(1+$B$7)</f>
        <v/>
      </c>
    </row>
    <row r="15">
      <c r="A15" t="n">
        <v>2029</v>
      </c>
      <c r="B15" s="4">
        <f>B14*(1+$B$6)</f>
        <v/>
      </c>
      <c r="C15" s="4">
        <f>C14*(1+$B$5)</f>
        <v/>
      </c>
      <c r="D15" s="4">
        <f>D14*(1+$B$7)</f>
        <v/>
      </c>
    </row>
    <row r="16">
      <c r="A16" t="n">
        <v>2030</v>
      </c>
      <c r="B16" s="4">
        <f>B15*(1+$B$6)</f>
        <v/>
      </c>
      <c r="C16" s="4">
        <f>C15*(1+$B$5)</f>
        <v/>
      </c>
      <c r="D16" s="4">
        <f>D15*(1+$B$7)</f>
        <v/>
      </c>
    </row>
    <row r="18">
      <c r="A18" s="6" t="inlineStr">
        <is>
          <t>Base crosses $10M</t>
        </is>
      </c>
      <c r="B18" t="inlineStr">
        <is>
          <t>≈ 2027–28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40" customWidth="1" min="3" max="3"/>
    <col width="12" customWidth="1" min="4" max="4"/>
    <col width="8" customWidth="1" min="5" max="5"/>
    <col width="8" customWidth="1" min="6" max="6"/>
    <col width="9" customWidth="1" min="7" max="7"/>
    <col width="11" customWidth="1" min="8" max="8"/>
    <col width="9" customWidth="1" min="9" max="9"/>
  </cols>
  <sheetData>
    <row r="1">
      <c r="A1" s="1" t="inlineStr">
        <is>
          <t>Significant Warrant-Article Votes</t>
        </is>
      </c>
    </row>
    <row r="2">
      <c r="A2" s="2" t="inlineStr">
        <is>
          <t>Source: Annual Reports (2015–2025) and local news (2026). % YES computed.</t>
        </is>
      </c>
    </row>
    <row r="4">
      <c r="A4" s="3" t="inlineStr">
        <is>
          <t>Year</t>
        </is>
      </c>
      <c r="B4" s="3" t="inlineStr">
        <is>
          <t>Art</t>
        </is>
      </c>
      <c r="C4" s="3" t="inlineStr">
        <is>
          <t>Topic</t>
        </is>
      </c>
      <c r="D4" s="3" t="inlineStr">
        <is>
          <t>Amount</t>
        </is>
      </c>
      <c r="E4" s="3" t="inlineStr">
        <is>
          <t>YES</t>
        </is>
      </c>
      <c r="F4" s="3" t="inlineStr">
        <is>
          <t>NO</t>
        </is>
      </c>
      <c r="G4" s="3" t="inlineStr">
        <is>
          <t>% YES</t>
        </is>
      </c>
      <c r="H4" s="3" t="inlineStr">
        <is>
          <t>Threshold</t>
        </is>
      </c>
      <c r="I4" s="3" t="inlineStr">
        <is>
          <t>Result</t>
        </is>
      </c>
    </row>
    <row r="5">
      <c r="A5" t="n">
        <v>2023</v>
      </c>
      <c r="B5" t="inlineStr">
        <is>
          <t>10</t>
        </is>
      </c>
      <c r="C5" t="inlineStr">
        <is>
          <t>All-Veterans tax credit</t>
        </is>
      </c>
      <c r="E5" t="n">
        <v>569</v>
      </c>
      <c r="F5" t="n">
        <v>67</v>
      </c>
      <c r="G5" s="5">
        <f>E5/(E5+F5)</f>
        <v/>
      </c>
      <c r="H5" t="inlineStr">
        <is>
          <t>majority</t>
        </is>
      </c>
      <c r="I5" s="7" t="inlineStr">
        <is>
          <t>PASS</t>
        </is>
      </c>
    </row>
    <row r="6">
      <c r="A6" t="n">
        <v>2023</v>
      </c>
      <c r="B6" t="inlineStr">
        <is>
          <t>6</t>
        </is>
      </c>
      <c r="C6" t="inlineStr">
        <is>
          <t>Capital reserve deposit</t>
        </is>
      </c>
      <c r="D6" s="4" t="n">
        <v>261976</v>
      </c>
      <c r="E6" t="n">
        <v>528</v>
      </c>
      <c r="F6" t="n">
        <v>112</v>
      </c>
      <c r="G6" s="5">
        <f>E6/(E6+F6)</f>
        <v/>
      </c>
      <c r="H6" t="inlineStr">
        <is>
          <t>majority</t>
        </is>
      </c>
      <c r="I6" s="7" t="inlineStr">
        <is>
          <t>PASS</t>
        </is>
      </c>
    </row>
    <row r="7">
      <c r="A7" t="n">
        <v>2023</v>
      </c>
      <c r="B7" t="inlineStr">
        <is>
          <t>5</t>
        </is>
      </c>
      <c r="C7" t="inlineStr">
        <is>
          <t>Capital reserve deposit</t>
        </is>
      </c>
      <c r="D7" s="4" t="n">
        <v>590000</v>
      </c>
      <c r="E7" t="n">
        <v>494</v>
      </c>
      <c r="F7" t="n">
        <v>141</v>
      </c>
      <c r="G7" s="5">
        <f>E7/(E7+F7)</f>
        <v/>
      </c>
      <c r="H7" t="inlineStr">
        <is>
          <t>majority</t>
        </is>
      </c>
      <c r="I7" s="7" t="inlineStr">
        <is>
          <t>PASS</t>
        </is>
      </c>
    </row>
    <row r="8">
      <c r="A8" t="n">
        <v>2023</v>
      </c>
      <c r="B8" t="inlineStr">
        <is>
          <t>4</t>
        </is>
      </c>
      <c r="C8" t="inlineStr">
        <is>
          <t>Capital reserve deposit</t>
        </is>
      </c>
      <c r="D8" s="4" t="n">
        <v>272000</v>
      </c>
      <c r="E8" t="n">
        <v>470</v>
      </c>
      <c r="F8" t="n">
        <v>178</v>
      </c>
      <c r="G8" s="5">
        <f>E8/(E8+F8)</f>
        <v/>
      </c>
      <c r="H8" t="inlineStr">
        <is>
          <t>majority</t>
        </is>
      </c>
      <c r="I8" s="7" t="inlineStr">
        <is>
          <t>PASS</t>
        </is>
      </c>
    </row>
    <row r="9">
      <c r="A9" t="n">
        <v>2025</v>
      </c>
      <c r="B9" t="inlineStr">
        <is>
          <t>13</t>
        </is>
      </c>
      <c r="C9" t="inlineStr">
        <is>
          <t>Ambulance Expendable Trust</t>
        </is>
      </c>
      <c r="D9" s="4" t="n">
        <v>100000</v>
      </c>
      <c r="E9" t="n">
        <v>1060</v>
      </c>
      <c r="F9" t="n">
        <v>350</v>
      </c>
      <c r="G9" s="5">
        <f>E9/(E9+F9)</f>
        <v/>
      </c>
      <c r="H9" t="inlineStr">
        <is>
          <t>majority</t>
        </is>
      </c>
      <c r="I9" s="7" t="inlineStr">
        <is>
          <t>PASS</t>
        </is>
      </c>
    </row>
    <row r="10">
      <c r="A10" t="n">
        <v>2025</v>
      </c>
      <c r="B10" t="inlineStr">
        <is>
          <t>6</t>
        </is>
      </c>
      <c r="C10" t="inlineStr">
        <is>
          <t>DWSRF study (100% principal forgiveness)</t>
        </is>
      </c>
      <c r="D10" s="4" t="n">
        <v>100000</v>
      </c>
      <c r="E10" t="n">
        <v>998</v>
      </c>
      <c r="F10" t="n">
        <v>406</v>
      </c>
      <c r="G10" s="5">
        <f>E10/(E10+F10)</f>
        <v/>
      </c>
      <c r="H10" t="inlineStr">
        <is>
          <t>majority</t>
        </is>
      </c>
      <c r="I10" s="7" t="inlineStr">
        <is>
          <t>PASS</t>
        </is>
      </c>
    </row>
    <row r="11">
      <c r="A11" t="n">
        <v>2025</v>
      </c>
      <c r="B11" t="inlineStr">
        <is>
          <t>12</t>
        </is>
      </c>
      <c r="C11" t="inlineStr">
        <is>
          <t>Acquire West Swanzey water assets</t>
        </is>
      </c>
      <c r="E11" t="n">
        <v>822</v>
      </c>
      <c r="F11" t="n">
        <v>553</v>
      </c>
      <c r="G11" s="5">
        <f>E11/(E11+F11)</f>
        <v/>
      </c>
      <c r="H11" t="inlineStr">
        <is>
          <t>majority</t>
        </is>
      </c>
      <c r="I11" s="7" t="inlineStr">
        <is>
          <t>PASS</t>
        </is>
      </c>
    </row>
    <row r="12">
      <c r="A12" t="n">
        <v>2025</v>
      </c>
      <c r="B12" t="inlineStr">
        <is>
          <t>4</t>
        </is>
      </c>
      <c r="C12" t="inlineStr">
        <is>
          <t>Water/infrastructure approp.</t>
        </is>
      </c>
      <c r="D12" s="4" t="n">
        <v>3500000</v>
      </c>
      <c r="E12" t="n">
        <v>864</v>
      </c>
      <c r="F12" t="n">
        <v>529</v>
      </c>
      <c r="G12" s="5">
        <f>E12/(E12+F12)</f>
        <v/>
      </c>
      <c r="H12" t="inlineStr">
        <is>
          <t>3/5</t>
        </is>
      </c>
      <c r="I12" s="7" t="inlineStr">
        <is>
          <t>PASS</t>
        </is>
      </c>
    </row>
    <row r="13">
      <c r="A13" t="n">
        <v>2025</v>
      </c>
      <c r="B13" t="inlineStr">
        <is>
          <t>15</t>
        </is>
      </c>
      <c r="C13" t="inlineStr">
        <is>
          <t>Increase Select Board 3→5</t>
        </is>
      </c>
      <c r="E13" t="n">
        <v>740</v>
      </c>
      <c r="F13" t="n">
        <v>653</v>
      </c>
      <c r="G13" s="5">
        <f>E13/(E13+F13)</f>
        <v/>
      </c>
      <c r="H13" t="inlineStr">
        <is>
          <t>majority</t>
        </is>
      </c>
      <c r="I13" s="7" t="inlineStr">
        <is>
          <t>PASS</t>
        </is>
      </c>
    </row>
    <row r="14">
      <c r="A14" t="n">
        <v>2025</v>
      </c>
      <c r="B14" t="inlineStr">
        <is>
          <t>7</t>
        </is>
      </c>
      <c r="C14" t="inlineStr">
        <is>
          <t>Operating budget</t>
        </is>
      </c>
      <c r="D14" s="4" t="n">
        <v>8939036</v>
      </c>
      <c r="E14" t="n">
        <v>800</v>
      </c>
      <c r="F14" t="n">
        <v>596</v>
      </c>
      <c r="G14" s="5">
        <f>E14/(E14+F14)</f>
        <v/>
      </c>
      <c r="H14" t="inlineStr">
        <is>
          <t>majority</t>
        </is>
      </c>
      <c r="I14" s="7" t="inlineStr">
        <is>
          <t>PASS</t>
        </is>
      </c>
    </row>
    <row r="15">
      <c r="A15" t="n">
        <v>2024</v>
      </c>
      <c r="B15" t="inlineStr">
        <is>
          <t>op</t>
        </is>
      </c>
      <c r="C15" t="inlineStr">
        <is>
          <t>Operating budget</t>
        </is>
      </c>
      <c r="D15" s="4" t="n">
        <v>8370000</v>
      </c>
      <c r="E15" t="n">
        <v>738</v>
      </c>
      <c r="F15" t="n">
        <v>530</v>
      </c>
      <c r="G15" s="5">
        <f>E15/(E15+F15)</f>
        <v/>
      </c>
      <c r="H15" t="inlineStr">
        <is>
          <t>majority</t>
        </is>
      </c>
      <c r="I15" s="7" t="inlineStr">
        <is>
          <t>PASS</t>
        </is>
      </c>
    </row>
    <row r="16">
      <c r="A16" t="n">
        <v>2023</v>
      </c>
      <c r="B16" t="inlineStr">
        <is>
          <t>7</t>
        </is>
      </c>
      <c r="C16" t="inlineStr">
        <is>
          <t>Fire Stations Capital Reserve</t>
        </is>
      </c>
      <c r="D16" s="4" t="n">
        <v>300000</v>
      </c>
      <c r="E16" t="n">
        <v>365</v>
      </c>
      <c r="F16" t="n">
        <v>268</v>
      </c>
      <c r="G16" s="5">
        <f>E16/(E16+F16)</f>
        <v/>
      </c>
      <c r="H16" t="inlineStr">
        <is>
          <t>majority</t>
        </is>
      </c>
      <c r="I16" s="7" t="inlineStr">
        <is>
          <t>PASS</t>
        </is>
      </c>
    </row>
    <row r="17">
      <c r="A17" t="n">
        <v>2024</v>
      </c>
      <c r="B17" t="inlineStr">
        <is>
          <t>x</t>
        </is>
      </c>
      <c r="C17" t="inlineStr">
        <is>
          <t>Bond/revolving (3/5)</t>
        </is>
      </c>
      <c r="E17" t="n">
        <v>702</v>
      </c>
      <c r="F17" t="n">
        <v>582</v>
      </c>
      <c r="G17" s="5">
        <f>E17/(E17+F17)</f>
        <v/>
      </c>
      <c r="H17" t="inlineStr">
        <is>
          <t>3/5</t>
        </is>
      </c>
      <c r="I17" s="8" t="inlineStr">
        <is>
          <t>FAIL</t>
        </is>
      </c>
    </row>
    <row r="18">
      <c r="A18" t="n">
        <v>2026</v>
      </c>
      <c r="B18" t="inlineStr">
        <is>
          <t>3</t>
        </is>
      </c>
      <c r="C18" t="inlineStr">
        <is>
          <t>Public Works Facility ($1.2M, 3/5)</t>
        </is>
      </c>
      <c r="D18" s="4" t="n">
        <v>1200000</v>
      </c>
      <c r="E18" t="n">
        <v>681</v>
      </c>
      <c r="F18" t="n">
        <v>485</v>
      </c>
      <c r="G18" s="5">
        <f>E18/(E18+F18)</f>
        <v/>
      </c>
      <c r="H18" t="inlineStr">
        <is>
          <t>3/5</t>
        </is>
      </c>
      <c r="I18" s="8" t="inlineStr">
        <is>
          <t>FAIL</t>
        </is>
      </c>
    </row>
    <row r="19">
      <c r="A19" t="n">
        <v>2025</v>
      </c>
      <c r="B19" t="inlineStr">
        <is>
          <t>16</t>
        </is>
      </c>
      <c r="C19" t="inlineStr">
        <is>
          <t>2nd polling location (petition)</t>
        </is>
      </c>
      <c r="E19" t="n">
        <v>673</v>
      </c>
      <c r="F19" t="n">
        <v>727</v>
      </c>
      <c r="G19" s="5">
        <f>E19/(E19+F19)</f>
        <v/>
      </c>
      <c r="H19" t="inlineStr">
        <is>
          <t>majority</t>
        </is>
      </c>
      <c r="I19" s="8" t="inlineStr">
        <is>
          <t>FAIL</t>
        </is>
      </c>
    </row>
    <row r="20">
      <c r="A20" t="n">
        <v>2026</v>
      </c>
      <c r="B20" t="inlineStr">
        <is>
          <t>SB2</t>
        </is>
      </c>
      <c r="C20" t="inlineStr">
        <is>
          <t>Repeal SB2 (return to floor)</t>
        </is>
      </c>
      <c r="E20" t="n">
        <v>345</v>
      </c>
      <c r="F20" t="n">
        <v>809</v>
      </c>
      <c r="G20" s="5">
        <f>E20/(E20+F20)</f>
        <v/>
      </c>
      <c r="H20" t="inlineStr">
        <is>
          <t>majority</t>
        </is>
      </c>
      <c r="I20" s="8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8" customWidth="1" min="4" max="4"/>
    <col width="34" customWidth="1" min="5" max="5"/>
    <col width="24" customWidth="1" min="6" max="6"/>
  </cols>
  <sheetData>
    <row r="1">
      <c r="A1" s="1" t="inlineStr">
        <is>
          <t>Select Board Elections &amp; Turnover</t>
        </is>
      </c>
    </row>
    <row r="2">
      <c r="A2" s="2" t="inlineStr">
        <is>
          <t>Source: Annual Reports (2022–2024) and news (2026). ~ = approximate.</t>
        </is>
      </c>
    </row>
    <row r="4">
      <c r="A4" s="3" t="inlineStr">
        <is>
          <t>Year</t>
        </is>
      </c>
      <c r="B4" s="3" t="inlineStr">
        <is>
          <t>Seat</t>
        </is>
      </c>
      <c r="C4" s="3" t="inlineStr">
        <is>
          <t>Winner</t>
        </is>
      </c>
      <c r="D4" s="3" t="inlineStr">
        <is>
          <t>Votes</t>
        </is>
      </c>
      <c r="E4" s="3" t="inlineStr">
        <is>
          <t>Notable challengers</t>
        </is>
      </c>
      <c r="F4" s="3" t="inlineStr">
        <is>
          <t>Signal</t>
        </is>
      </c>
    </row>
    <row r="5">
      <c r="A5" t="n">
        <v>2022</v>
      </c>
      <c r="B5" t="inlineStr">
        <is>
          <t>3yr</t>
        </is>
      </c>
      <c r="C5" t="inlineStr">
        <is>
          <t>Sly Karasinski</t>
        </is>
      </c>
      <c r="D5" t="n">
        <v>672</v>
      </c>
      <c r="E5" t="inlineStr">
        <is>
          <t>strong/uncontested</t>
        </is>
      </c>
      <c r="F5" t="inlineStr">
        <is>
          <t>incumbent retained</t>
        </is>
      </c>
    </row>
    <row r="6">
      <c r="A6" t="n">
        <v>2023</v>
      </c>
      <c r="B6" t="inlineStr">
        <is>
          <t>3yr</t>
        </is>
      </c>
      <c r="C6" t="inlineStr">
        <is>
          <t>Bill Hutwelker</t>
        </is>
      </c>
      <c r="D6" t="n">
        <v>394</v>
      </c>
      <c r="E6" t="inlineStr">
        <is>
          <t>Michael York 216</t>
        </is>
      </c>
      <c r="F6" t="inlineStr">
        <is>
          <t>contested</t>
        </is>
      </c>
    </row>
    <row r="7">
      <c r="A7" t="n">
        <v>2023</v>
      </c>
      <c r="B7" t="inlineStr">
        <is>
          <t>seat</t>
        </is>
      </c>
      <c r="C7" t="inlineStr">
        <is>
          <t>Victoria Reck Ames</t>
        </is>
      </c>
      <c r="D7" t="n">
        <v>442</v>
      </c>
      <c r="E7" t="inlineStr">
        <is>
          <t>Brandon Self 418</t>
        </is>
      </c>
      <c r="F7" t="inlineStr">
        <is>
          <t>won by 24 — new face</t>
        </is>
      </c>
    </row>
    <row r="8">
      <c r="A8" t="n">
        <v>2024</v>
      </c>
      <c r="B8" t="inlineStr">
        <is>
          <t>3yr</t>
        </is>
      </c>
      <c r="C8" t="inlineStr">
        <is>
          <t>James Tempesta</t>
        </is>
      </c>
      <c r="D8" t="n">
        <v>461</v>
      </c>
      <c r="E8" t="inlineStr">
        <is>
          <t>Ward 294, LaBelle 288, Thorne 105</t>
        </is>
      </c>
      <c r="F8" t="inlineStr">
        <is>
          <t>crowded field</t>
        </is>
      </c>
    </row>
    <row r="9">
      <c r="A9" t="n">
        <v>2026</v>
      </c>
      <c r="B9" t="inlineStr">
        <is>
          <t>3yr</t>
        </is>
      </c>
      <c r="C9" t="inlineStr">
        <is>
          <t>James Ward</t>
        </is>
      </c>
      <c r="D9" t="n">
        <v>545</v>
      </c>
      <c r="E9" t="inlineStr">
        <is>
          <t>Tatro 481, York 414</t>
        </is>
      </c>
      <c r="F9" t="inlineStr">
        <is>
          <t>incumbents challenged</t>
        </is>
      </c>
    </row>
    <row r="10">
      <c r="A10" t="n">
        <v>2026</v>
      </c>
      <c r="B10" t="inlineStr">
        <is>
          <t>1yr (new 5th)</t>
        </is>
      </c>
      <c r="C10" t="inlineStr">
        <is>
          <t>Alan Gross</t>
        </is>
      </c>
      <c r="D10" t="n">
        <v>678</v>
      </c>
      <c r="E10" t="inlineStr">
        <is>
          <t>Elizabeth Traynor 408</t>
        </is>
      </c>
      <c r="F10" t="inlineStr">
        <is>
          <t>first 5th-seat race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3" customWidth="1" min="4" max="4"/>
  </cols>
  <sheetData>
    <row r="1">
      <c r="A1" s="1" t="inlineStr">
        <is>
          <t>The Ten Ranked Pains</t>
        </is>
      </c>
    </row>
    <row r="2">
      <c r="A2" s="2" t="inlineStr">
        <is>
          <t>Ranked by how much each constrains everything else. Provenance: reports + news.</t>
        </is>
      </c>
    </row>
    <row r="4">
      <c r="A4" s="3" t="inlineStr">
        <is>
          <t>#</t>
        </is>
      </c>
      <c r="B4" s="3" t="inlineStr">
        <is>
          <t>Pain</t>
        </is>
      </c>
      <c r="C4" s="3" t="inlineStr">
        <is>
          <t>Evidence</t>
        </is>
      </c>
      <c r="D4" s="3" t="inlineStr">
        <is>
          <t>Trajectory</t>
        </is>
      </c>
    </row>
    <row r="5">
      <c r="A5" s="6" t="inlineStr">
        <is>
          <t>P1</t>
        </is>
      </c>
      <c r="B5" s="9" t="inlineStr">
        <is>
          <t>Administrative instability (TA churn)</t>
        </is>
      </c>
      <c r="C5" s="9" t="inlineStr">
        <is>
          <t>3 administrators in ~2 years (Branley→Torpey interim→Rautiola→open)</t>
        </is>
      </c>
      <c r="D5" t="inlineStr">
        <is>
          <t>worsening</t>
        </is>
      </c>
    </row>
    <row r="6">
      <c r="A6" s="6" t="inlineStr">
        <is>
          <t>P2</t>
        </is>
      </c>
      <c r="B6" s="9" t="inlineStr">
        <is>
          <t>Capital paralysis at the 3/5 wall</t>
        </is>
      </c>
      <c r="C6" s="9" t="inlineStr">
        <is>
          <t>Public Works Facility failed 2024 (54.7%) &amp; 2026 (58.4%) with majorities</t>
        </is>
      </c>
      <c r="D6" t="inlineStr">
        <is>
          <t>chronic</t>
        </is>
      </c>
    </row>
    <row r="7">
      <c r="A7" s="6" t="inlineStr">
        <is>
          <t>P3</t>
        </is>
      </c>
      <c r="B7" s="9" t="inlineStr">
        <is>
          <t>Eroding budget support</t>
        </is>
      </c>
      <c r="C7" s="9" t="inlineStr">
        <is>
          <t>Operating-budget % YES 76.6→57.3 (2015→2025)</t>
        </is>
      </c>
      <c r="D7" t="inlineStr">
        <is>
          <t>worsening</t>
        </is>
      </c>
    </row>
    <row r="8">
      <c r="A8" s="6" t="inlineStr">
        <is>
          <t>P4</t>
        </is>
      </c>
      <c r="B8" s="9" t="inlineStr">
        <is>
          <t>Default-budget lever gone</t>
        </is>
      </c>
      <c r="C8" s="9" t="inlineStr">
        <is>
          <t>2025 gap $47K (0.5%); 2016–17 default exceeded proposal</t>
        </is>
      </c>
      <c r="D8" t="inlineStr">
        <is>
          <t>structural</t>
        </is>
      </c>
    </row>
    <row r="9">
      <c r="A9" s="6" t="inlineStr">
        <is>
          <t>P5</t>
        </is>
      </c>
      <c r="B9" s="9" t="inlineStr">
        <is>
          <t>Development conflict + litigation</t>
        </is>
      </c>
      <c r="C9" s="9" t="inlineStr">
        <is>
          <t>Avanru 74-unit senior housing → federal suit; Base Hill storage dispute</t>
        </is>
      </c>
      <c r="D9" t="inlineStr">
        <is>
          <t>active</t>
        </is>
      </c>
    </row>
    <row r="10">
      <c r="A10" s="6" t="inlineStr">
        <is>
          <t>P6</t>
        </is>
      </c>
      <c r="B10" s="9" t="inlineStr">
        <is>
          <t>Aging water / utility takeover</t>
        </is>
      </c>
      <c r="C10" s="9" t="inlineStr">
        <is>
          <t>2025 acquired West Swanzey water; TIF; $3.5M &amp; $6.4M approps; SRF study</t>
        </is>
      </c>
      <c r="D10" t="inlineStr">
        <is>
          <t>rising</t>
        </is>
      </c>
    </row>
    <row r="11">
      <c r="A11" s="6" t="inlineStr">
        <is>
          <t>P7</t>
        </is>
      </c>
      <c r="B11" s="9" t="inlineStr">
        <is>
          <t>Bridge / heritage disputes</t>
        </is>
      </c>
      <c r="C11" s="9" t="inlineStr">
        <is>
          <t>Christian Hill Rd bridge petitions &amp; demolition controversy</t>
        </is>
      </c>
      <c r="D11" t="inlineStr">
        <is>
          <t>episodic</t>
        </is>
      </c>
    </row>
    <row r="12">
      <c r="A12" s="6" t="inlineStr">
        <is>
          <t>P8</t>
        </is>
      </c>
      <c r="B12" s="9" t="inlineStr">
        <is>
          <t>Governance-structure churn</t>
        </is>
      </c>
      <c r="C12" s="9" t="inlineStr">
        <is>
          <t>Board 3→5 (2025); polling rejected; SB2 kept (2026)</t>
        </is>
      </c>
      <c r="D12" t="inlineStr">
        <is>
          <t>active</t>
        </is>
      </c>
    </row>
    <row r="13">
      <c r="A13" s="6" t="inlineStr">
        <is>
          <t>P9</t>
        </is>
      </c>
      <c r="B13" s="9" t="inlineStr">
        <is>
          <t>Cost-driver escalation</t>
        </is>
      </c>
      <c r="C13" s="9" t="inlineStr">
        <is>
          <t>Wages, health insurance, ambulance contract → ~6–7%/yr</t>
        </is>
      </c>
      <c r="D13" t="inlineStr">
        <is>
          <t>worsening</t>
        </is>
      </c>
    </row>
    <row r="14">
      <c r="A14" s="6" t="inlineStr">
        <is>
          <t>P10</t>
        </is>
      </c>
      <c r="B14" s="9" t="inlineStr">
        <is>
          <t>Electoral volatility</t>
        </is>
      </c>
      <c r="C14" s="9" t="inlineStr">
        <is>
          <t>2026 incumbents challenged/defeated; recounts</t>
        </is>
      </c>
      <c r="D14" t="inlineStr">
        <is>
          <t>rising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0" customWidth="1" min="5" max="5"/>
    <col width="9" customWidth="1" min="6" max="6"/>
    <col width="38" customWidth="1" min="7" max="7"/>
  </cols>
  <sheetData>
    <row r="1">
      <c r="A1" s="1" t="inlineStr">
        <is>
          <t>Property Tax Rate by Component (per $1,000)</t>
        </is>
      </c>
    </row>
    <row r="2">
      <c r="A2" s="2" t="inlineStr">
        <is>
          <t>Source: NH DRA / Town of Swanzey. NOTE: 2024 was a revaluation year — assessed values rose, so the rate fell; it was NOT a tax cut.</t>
        </is>
      </c>
    </row>
    <row r="4">
      <c r="A4" s="3" t="inlineStr">
        <is>
          <t>Year</t>
        </is>
      </c>
      <c r="B4" s="3" t="inlineStr">
        <is>
          <t>Municipal</t>
        </is>
      </c>
      <c r="C4" s="3" t="inlineStr">
        <is>
          <t>County</t>
        </is>
      </c>
      <c r="D4" s="3" t="inlineStr">
        <is>
          <t>State Ed.</t>
        </is>
      </c>
      <c r="E4" s="3" t="inlineStr">
        <is>
          <t>Local Ed.</t>
        </is>
      </c>
      <c r="F4" s="3" t="inlineStr">
        <is>
          <t>Total</t>
        </is>
      </c>
      <c r="G4" s="3" t="inlineStr">
        <is>
          <t>Note</t>
        </is>
      </c>
    </row>
    <row r="5">
      <c r="A5" t="n">
        <v>2021</v>
      </c>
      <c r="B5" s="10" t="n">
        <v>6.53</v>
      </c>
      <c r="C5" s="10" t="n">
        <v>3.59</v>
      </c>
      <c r="D5" s="10" t="n">
        <v>1.86</v>
      </c>
      <c r="E5" s="10" t="n">
        <v>12.53</v>
      </c>
      <c r="F5" s="11">
        <f>SUM(B5:E5)</f>
        <v/>
      </c>
      <c r="G5" t="inlineStr"/>
    </row>
    <row r="6">
      <c r="A6" t="n">
        <v>2022</v>
      </c>
      <c r="B6" s="10" t="n">
        <v>6.83</v>
      </c>
      <c r="C6" s="10" t="n">
        <v>3.69</v>
      </c>
      <c r="D6" s="10" t="n">
        <v>1.32</v>
      </c>
      <c r="E6" s="10" t="n">
        <v>13.16</v>
      </c>
      <c r="F6" s="11">
        <f>SUM(B6:E6)</f>
        <v/>
      </c>
      <c r="G6" t="inlineStr">
        <is>
          <t>News: 'set at ~$25.00'</t>
        </is>
      </c>
    </row>
    <row r="7">
      <c r="A7" t="n">
        <v>2023</v>
      </c>
      <c r="B7" s="10" t="n">
        <v>7.55</v>
      </c>
      <c r="C7" s="10" t="n">
        <v>3.63</v>
      </c>
      <c r="D7" s="10" t="n">
        <v>1.81</v>
      </c>
      <c r="E7" s="10" t="n">
        <v>13.88</v>
      </c>
      <c r="F7" s="11">
        <f>SUM(B7:E7)</f>
        <v/>
      </c>
      <c r="G7" t="inlineStr">
        <is>
          <t>Pre-revaluation peak</t>
        </is>
      </c>
    </row>
    <row r="8">
      <c r="A8" t="n">
        <v>2024</v>
      </c>
      <c r="B8" s="10" t="n">
        <v>5.16</v>
      </c>
      <c r="C8" s="10" t="n">
        <v>2.47</v>
      </c>
      <c r="D8" s="10" t="n">
        <v>1.17</v>
      </c>
      <c r="E8" s="10" t="n">
        <v>10.26</v>
      </c>
      <c r="F8" s="11">
        <f>SUM(B8:E8)</f>
        <v/>
      </c>
      <c r="G8" t="inlineStr">
        <is>
          <t>REVALUATION — values up, rate down</t>
        </is>
      </c>
    </row>
    <row r="9">
      <c r="A9" t="n">
        <v>2025</v>
      </c>
      <c r="B9" s="10" t="n">
        <v>5.62</v>
      </c>
      <c r="C9" s="10" t="n">
        <v>2.28</v>
      </c>
      <c r="D9" s="10" t="n">
        <v>1.25</v>
      </c>
      <c r="E9" s="10" t="n">
        <v>11.03</v>
      </c>
      <c r="F9" s="11">
        <f>SUM(B9:E9)</f>
        <v/>
      </c>
      <c r="G9" t="inlineStr"/>
    </row>
    <row r="11">
      <c r="A11" s="6" t="inlineStr">
        <is>
          <t>Education share of bill (2025)</t>
        </is>
      </c>
      <c r="B11" s="5">
        <f>(D9+E9)/F9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2026-06-03T08:57:03Z</dcterms:created>
  <dcterms:modified xmlns:dcterms="http://purl.org/dc/terms/" xmlns:xsi="http://www.w3.org/2001/XMLSchema-instance" xsi:type="dcterms:W3CDTF">2026-06-03T08:57:03Z</dcterms:modified>
</cp:coreProperties>
</file>