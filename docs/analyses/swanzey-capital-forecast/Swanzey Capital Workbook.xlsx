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Reserve Ladder" sheetId="3" state="visible" r:id="rId3"/>
    <sheet xmlns:r="http://schemas.openxmlformats.org/officeDocument/2006/relationships" name="10-Year Plan" sheetId="4" state="visible" r:id="rId4"/>
    <sheet xmlns:r="http://schemas.openxmlformats.org/officeDocument/2006/relationships" name="Bridge Aid Calc" sheetId="5" state="visible" r:id="rId5"/>
    <sheet xmlns:r="http://schemas.openxmlformats.org/officeDocument/2006/relationships" name="Capital &amp; Special Votes" sheetId="6" state="visible" r:id="rId6"/>
    <sheet xmlns:r="http://schemas.openxmlformats.org/officeDocument/2006/relationships" name="Budget Votes" sheetId="7" state="visible" r:id="rId7"/>
    <sheet xmlns:r="http://schemas.openxmlformats.org/officeDocument/2006/relationships" name="Board Elections" sheetId="8" state="visible" r:id="rId8"/>
    <sheet xmlns:r="http://schemas.openxmlformats.org/officeDocument/2006/relationships" name="Assump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;[Red]-$#,##0"/>
    <numFmt numFmtId="167" formatCode="$0.00"/>
  </numFmts>
  <fonts count="11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5F5E5A"/>
      <sz val="9"/>
    </font>
    <font>
      <b val="1"/>
      <color rgb="00FFFFFF"/>
      <sz val="10"/>
    </font>
    <font>
      <b val="1"/>
    </font>
    <font>
      <b val="1"/>
      <color rgb="009C2A00"/>
    </font>
    <font>
      <b val="1"/>
      <color rgb="009C2A00"/>
      <sz val="12"/>
    </font>
    <font>
      <b val="1"/>
      <color rgb="001F3A5F"/>
    </font>
    <font>
      <b val="1"/>
      <color rgb="000F6E56"/>
    </font>
    <font>
      <b val="1"/>
      <color rgb="00993C1D"/>
    </font>
    <font>
      <i val="1"/>
      <color rgb="00993C1D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  <fill>
      <patternFill patternType="solid">
        <fgColor rgb="00E1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165" fontId="4" fillId="4" borderId="0" pivotButton="0" quotePrefix="0" xfId="0"/>
    <xf numFmtId="3" fontId="5" fillId="3" borderId="0" pivotButton="0" quotePrefix="0" xfId="0"/>
    <xf numFmtId="164" fontId="4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6" fontId="5" fillId="0" borderId="0" pivotButton="0" quotePrefix="0" xfId="0"/>
    <xf numFmtId="164" fontId="5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Net-new tax impact on a median home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'10-Year Plan'!L4</f>
            </strRef>
          </tx>
          <spPr>
            <a:ln xmlns:a="http://schemas.openxmlformats.org/drawingml/2006/main">
              <a:prstDash val="solid"/>
            </a:ln>
          </spPr>
          <cat>
            <numRef>
              <f>'10-Year Plan'!$A$5:$A$14</f>
            </numRef>
          </cat>
          <val>
            <numRef>
              <f>'10-Year Plan'!$L$5:$L$14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3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Swanzey Capital Workbook — Summary</t>
        </is>
      </c>
    </row>
    <row r="2">
      <c r="A2" s="2" t="inlineStr">
        <is>
          <t>Fund the whole backlog with majority-vote reserves + outside money. No new bonds, no 3/5 votes.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capital backlog</t>
        </is>
      </c>
      <c r="B5" s="5">
        <f>Projects!$B$10</f>
        <v/>
      </c>
    </row>
    <row r="6">
      <c r="A6" s="4" t="inlineStr">
        <is>
          <t>Paid by state / SRF / grants</t>
        </is>
      </c>
      <c r="B6" s="5">
        <f>Projects!$C$10+Projects!$D$10+Projects!$E$10</f>
        <v/>
      </c>
    </row>
    <row r="7">
      <c r="A7" s="4" t="inlineStr">
        <is>
          <t>Non-property-tax share</t>
        </is>
      </c>
      <c r="B7" s="6">
        <f>(Projects!$C$10+Projects!$D$10+Projects!$E$10)/Projects!$B$10</f>
        <v/>
      </c>
    </row>
    <row r="8">
      <c r="A8" s="4" t="inlineStr">
        <is>
          <t>Local share (saved via reserves)</t>
        </is>
      </c>
      <c r="B8" s="5">
        <f>Projects!$F$10</f>
        <v/>
      </c>
    </row>
    <row r="9">
      <c r="A9" s="4" t="inlineStr">
        <is>
          <t>Local share %</t>
        </is>
      </c>
      <c r="B9" s="6">
        <f>Projects!$F$10/Projects!$B$10</f>
        <v/>
      </c>
    </row>
    <row r="10">
      <c r="A10" s="4" t="inlineStr">
        <is>
          <t>New bonds required</t>
        </is>
      </c>
      <c r="B10" s="5" t="n">
        <v>0</v>
      </c>
    </row>
    <row r="11">
      <c r="A11" s="4" t="inlineStr">
        <is>
          <t>Peak impact on a median home</t>
        </is>
      </c>
      <c r="B11" s="7">
        <f>'10-Year Plan'!L16</f>
        <v/>
      </c>
    </row>
    <row r="13">
      <c r="A13" s="8" t="inlineStr">
        <is>
          <t>Thesis</t>
        </is>
      </c>
    </row>
    <row r="14">
      <c r="A14" s="8" t="inlineStr">
        <is>
          <t>Voter signals (why the financing fits)</t>
        </is>
      </c>
    </row>
    <row r="15">
      <c r="A15" s="4" t="inlineStr">
        <is>
          <t>Reserves &amp; tax credits — pass rate</t>
        </is>
      </c>
      <c r="B15" s="20" t="inlineStr">
        <is>
          <t>78–90%</t>
        </is>
      </c>
    </row>
    <row r="16">
      <c r="A16" s="4" t="inlineStr">
        <is>
          <t>Facility bonds passed (need 3/5)</t>
        </is>
      </c>
      <c r="B16" s="20" t="inlineStr">
        <is>
          <t>0 of 2 — failed 2024 &amp; 2026 with majorities</t>
        </is>
      </c>
    </row>
    <row r="17">
      <c r="A17" s="4" t="inlineStr">
        <is>
          <t>Operating-budget support, 2011 → 2025</t>
        </is>
      </c>
      <c r="B17" s="20" t="inlineStr">
        <is>
          <t>~81% → 57%</t>
        </is>
      </c>
    </row>
    <row r="18">
      <c r="A18" s="4" t="inlineStr">
        <is>
          <t>2025 capital activity</t>
        </is>
      </c>
      <c r="B18" s="20" t="inlineStr">
        <is>
          <t>acquired West Swanzey water; funded SRF study; board 3→5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15" customWidth="1" min="4" max="4"/>
    <col width="18" customWidth="1" min="5" max="5"/>
    <col width="13" customWidth="1" min="6" max="6"/>
    <col width="9" customWidth="1" min="7" max="7"/>
    <col width="44" customWidth="1" min="8" max="8"/>
  </cols>
  <sheetData>
    <row r="1">
      <c r="A1" s="1" t="inlineStr">
        <is>
          <t>Capital Backlog — Projects &amp; Funding Stack</t>
        </is>
      </c>
    </row>
    <row r="2">
      <c r="A2" s="2" t="inlineStr">
        <is>
          <t>Local share = Total − State/Federal aid − SRF/rates − Grants. Costs are planning estimates.</t>
        </is>
      </c>
    </row>
    <row r="4">
      <c r="A4" s="3" t="inlineStr">
        <is>
          <t>Project</t>
        </is>
      </c>
      <c r="B4" s="3" t="inlineStr">
        <is>
          <t>Total cost</t>
        </is>
      </c>
      <c r="C4" s="3" t="inlineStr">
        <is>
          <t>State/Fed aid</t>
        </is>
      </c>
      <c r="D4" s="3" t="inlineStr">
        <is>
          <t>SRF / water rates</t>
        </is>
      </c>
      <c r="E4" s="3" t="inlineStr">
        <is>
          <t>Grants &amp; forgiveness</t>
        </is>
      </c>
      <c r="F4" s="3" t="inlineStr">
        <is>
          <t>Local share</t>
        </is>
      </c>
      <c r="G4" s="3" t="inlineStr">
        <is>
          <t>Local %</t>
        </is>
      </c>
      <c r="H4" s="3" t="inlineStr">
        <is>
          <t>Primary funding path</t>
        </is>
      </c>
    </row>
    <row r="5">
      <c r="A5" t="inlineStr">
        <is>
          <t>Public Works Facility</t>
        </is>
      </c>
      <c r="B5" s="9" t="n">
        <v>1200000</v>
      </c>
      <c r="C5" s="9" t="n">
        <v>0</v>
      </c>
      <c r="D5" s="9" t="n">
        <v>0</v>
      </c>
      <c r="E5" s="9" t="n">
        <v>0</v>
      </c>
      <c r="F5" s="9">
        <f>B5-C5-D5-E5</f>
        <v/>
      </c>
      <c r="G5" s="10">
        <f>F5/B5</f>
        <v/>
      </c>
      <c r="H5" s="2" t="inlineStr">
        <is>
          <t>RSA 35 capital reserve (pay-go by ~2031)</t>
        </is>
      </c>
    </row>
    <row r="6">
      <c r="A6" t="inlineStr">
        <is>
          <t>Christian Hill Road Bridge</t>
        </is>
      </c>
      <c r="B6" s="9" t="n">
        <v>1000000</v>
      </c>
      <c r="C6" s="9" t="n">
        <v>800000</v>
      </c>
      <c r="D6" s="9" t="n">
        <v>0</v>
      </c>
      <c r="E6" s="9" t="n">
        <v>0</v>
      </c>
      <c r="F6" s="9">
        <f>B6-C6-D6-E6</f>
        <v/>
      </c>
      <c r="G6" s="10">
        <f>F6/B6</f>
        <v/>
      </c>
      <c r="H6" s="2" t="inlineStr">
        <is>
          <t>RSA 234 state bridge aid (80%) + bridge reserve (20%)</t>
        </is>
      </c>
    </row>
    <row r="7">
      <c r="A7" t="inlineStr">
        <is>
          <t>Lower Winchester Street</t>
        </is>
      </c>
      <c r="B7" s="9" t="n">
        <v>750000</v>
      </c>
      <c r="C7" s="9" t="n">
        <v>270000</v>
      </c>
      <c r="D7" s="9" t="n">
        <v>0</v>
      </c>
      <c r="E7" s="9" t="n">
        <v>0</v>
      </c>
      <c r="F7" s="9">
        <f>B7-C7-D7-E7</f>
        <v/>
      </c>
      <c r="G7" s="10">
        <f>F7/B7</f>
        <v/>
      </c>
      <c r="H7" s="2" t="inlineStr">
        <is>
          <t>Highway block grant + roads reserve</t>
        </is>
      </c>
    </row>
    <row r="8">
      <c r="A8" t="inlineStr">
        <is>
          <t>West Swanzey Water System</t>
        </is>
      </c>
      <c r="B8" s="9" t="n">
        <v>2075000</v>
      </c>
      <c r="C8" s="9" t="n">
        <v>0</v>
      </c>
      <c r="D8" s="9" t="n">
        <v>1600000</v>
      </c>
      <c r="E8" s="9" t="n">
        <v>475000</v>
      </c>
      <c r="F8" s="9">
        <f>B8-C8-D8-E8</f>
        <v/>
      </c>
      <c r="G8" s="10">
        <f>F8/B8</f>
        <v/>
      </c>
      <c r="H8" s="2" t="inlineStr">
        <is>
          <t>NHDES DWSRF (repaid by water rates) + grants/forgiveness</t>
        </is>
      </c>
    </row>
    <row r="9">
      <c r="A9" t="inlineStr">
        <is>
          <t>Town Hall ADA Stairwell</t>
        </is>
      </c>
      <c r="B9" s="9" t="n">
        <v>250000</v>
      </c>
      <c r="C9" s="9" t="n">
        <v>0</v>
      </c>
      <c r="D9" s="9" t="n">
        <v>0</v>
      </c>
      <c r="E9" s="9" t="n">
        <v>125000</v>
      </c>
      <c r="F9" s="9">
        <f>B9-C9-D9-E9</f>
        <v/>
      </c>
      <c r="G9" s="10">
        <f>F9/B9</f>
        <v/>
      </c>
      <c r="H9" s="2" t="inlineStr">
        <is>
          <t>CDBG/accessibility grant + facilities reserve</t>
        </is>
      </c>
    </row>
    <row r="10">
      <c r="A10" s="11" t="inlineStr">
        <is>
          <t>TOTAL</t>
        </is>
      </c>
      <c r="B10" s="12">
        <f>SUM(B5:B9)</f>
        <v/>
      </c>
      <c r="C10" s="12">
        <f>SUM(C5:C9)</f>
        <v/>
      </c>
      <c r="D10" s="12">
        <f>SUM(D5:D9)</f>
        <v/>
      </c>
      <c r="E10" s="12">
        <f>SUM(E5:E9)</f>
        <v/>
      </c>
      <c r="F10" s="12">
        <f>SUM(F5:F9)</f>
        <v/>
      </c>
      <c r="G10" s="13">
        <f>F10/B10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0" customWidth="1" min="3" max="3"/>
    <col width="10" customWidth="1" min="4" max="4"/>
  </cols>
  <sheetData>
    <row r="1">
      <c r="A1" s="1" t="inlineStr">
        <is>
          <t>Capital Reserve Ladder (RSA 35 — simple-majority votes)</t>
        </is>
      </c>
    </row>
    <row r="2">
      <c r="A2" s="2" t="inlineStr">
        <is>
          <t>Annual deposits build the local share. No bonds, no 3/5 votes.</t>
        </is>
      </c>
    </row>
    <row r="4">
      <c r="A4" s="3" t="inlineStr">
        <is>
          <t>Capital Reserve Fund</t>
        </is>
      </c>
      <c r="B4" s="3" t="inlineStr">
        <is>
          <t>Target annual deposit</t>
        </is>
      </c>
      <c r="C4" s="3" t="inlineStr">
        <is>
          <t>Funds</t>
        </is>
      </c>
      <c r="D4" s="3" t="inlineStr">
        <is>
          <t>Vote</t>
        </is>
      </c>
    </row>
    <row r="5">
      <c r="A5" s="4" t="inlineStr">
        <is>
          <t>Public Works Facility</t>
        </is>
      </c>
      <c r="B5" s="9" t="n">
        <v>200000</v>
      </c>
      <c r="C5" t="inlineStr">
        <is>
          <t>the facility (pay-go by ~2031)</t>
        </is>
      </c>
      <c r="D5" t="inlineStr">
        <is>
          <t>majority</t>
        </is>
      </c>
    </row>
    <row r="6">
      <c r="A6" s="4" t="inlineStr">
        <is>
          <t>Bridges</t>
        </is>
      </c>
      <c r="B6" s="9" t="n">
        <v>50000</v>
      </c>
      <c r="C6" t="inlineStr">
        <is>
          <t>Christian Hill 20% share (state pays 80%)</t>
        </is>
      </c>
      <c r="D6" t="inlineStr">
        <is>
          <t>majority</t>
        </is>
      </c>
    </row>
    <row r="7">
      <c r="A7" s="4" t="inlineStr">
        <is>
          <t>Highway Reconstruction</t>
        </is>
      </c>
      <c r="B7" s="9" t="n">
        <v>100000</v>
      </c>
      <c r="C7" t="inlineStr">
        <is>
          <t>Lower Winchester St &amp; roads</t>
        </is>
      </c>
      <c r="D7" t="inlineStr">
        <is>
          <t>majority</t>
        </is>
      </c>
    </row>
    <row r="8">
      <c r="A8" s="4" t="inlineStr">
        <is>
          <t>Highway Equipment</t>
        </is>
      </c>
      <c r="B8" s="9" t="n">
        <v>90000</v>
      </c>
      <c r="C8" t="inlineStr">
        <is>
          <t>plow/fleet replacement cycle</t>
        </is>
      </c>
      <c r="D8" t="inlineStr">
        <is>
          <t>majority</t>
        </is>
      </c>
    </row>
    <row r="9">
      <c r="A9" s="4" t="inlineStr">
        <is>
          <t>Fire Apparatus</t>
        </is>
      </c>
      <c r="B9" s="9" t="n">
        <v>70000</v>
      </c>
      <c r="C9" t="inlineStr">
        <is>
          <t>engine/tanker cycle</t>
        </is>
      </c>
      <c r="D9" t="inlineStr">
        <is>
          <t>majority</t>
        </is>
      </c>
    </row>
    <row r="10">
      <c r="A10" s="4" t="inlineStr">
        <is>
          <t>Town Facilities (incl. ADA)</t>
        </is>
      </c>
      <c r="B10" s="9" t="n">
        <v>40000</v>
      </c>
      <c r="C10" t="inlineStr">
        <is>
          <t>Town Hall ADA, building renewal</t>
        </is>
      </c>
      <c r="D10" t="inlineStr">
        <is>
          <t>majority</t>
        </is>
      </c>
    </row>
    <row r="11">
      <c r="A11" s="4" t="inlineStr">
        <is>
          <t>Technology &amp; Records</t>
        </is>
      </c>
      <c r="B11" s="9" t="n">
        <v>20000</v>
      </c>
      <c r="C11" t="inlineStr">
        <is>
          <t>GIS, cyber, RSA 33-A retention</t>
        </is>
      </c>
      <c r="D11" t="inlineStr">
        <is>
          <t>majority</t>
        </is>
      </c>
    </row>
    <row r="12">
      <c r="A12" s="2" t="inlineStr">
        <is>
          <t>Note</t>
        </is>
      </c>
      <c r="B12" s="2" t="inlineStr">
        <is>
          <t>Deposits shown are steady-state targets; the 10-Year Plan tab phases them.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  <col width="8" customWidth="1" min="8" max="8"/>
    <col width="14" customWidth="1" min="9" max="9"/>
    <col width="15" customWidth="1" min="10" max="10"/>
    <col width="16" customWidth="1" min="11" max="11"/>
    <col width="18" customWidth="1" min="12" max="12"/>
  </cols>
  <sheetData>
    <row r="1">
      <c r="A1" s="1" t="inlineStr">
        <is>
          <t>Capital Reserve Deposit Schedule &amp; Tax Impact</t>
        </is>
      </c>
    </row>
    <row r="2">
      <c r="A2" s="2" t="inlineStr">
        <is>
          <t>Edit deposits; Total, net-new rate, and the impact on a typical home recompute from Assumptions.</t>
        </is>
      </c>
    </row>
    <row r="4">
      <c r="A4" s="3" t="inlineStr">
        <is>
          <t>Year</t>
        </is>
      </c>
      <c r="B4" s="3" t="inlineStr">
        <is>
          <t>PW Facility</t>
        </is>
      </c>
      <c r="C4" s="3" t="inlineStr">
        <is>
          <t>Bridge</t>
        </is>
      </c>
      <c r="D4" s="3" t="inlineStr">
        <is>
          <t>Roads</t>
        </is>
      </c>
      <c r="E4" s="3" t="inlineStr">
        <is>
          <t>Hwy Equip</t>
        </is>
      </c>
      <c r="F4" s="3" t="inlineStr">
        <is>
          <t>Fire App.</t>
        </is>
      </c>
      <c r="G4" s="3" t="inlineStr">
        <is>
          <t>Facilities</t>
        </is>
      </c>
      <c r="H4" s="3" t="inlineStr">
        <is>
          <t>Tech</t>
        </is>
      </c>
      <c r="I4" s="3" t="inlineStr">
        <is>
          <t>Total deposits</t>
        </is>
      </c>
      <c r="J4" s="3" t="inlineStr">
        <is>
          <t>Net-new $ to raise</t>
        </is>
      </c>
      <c r="K4" s="3" t="inlineStr">
        <is>
          <t>Net-new rate /$1,000</t>
        </is>
      </c>
      <c r="L4" s="3" t="inlineStr">
        <is>
          <t>Impact on median home</t>
        </is>
      </c>
    </row>
    <row r="5">
      <c r="A5" t="n">
        <v>2027</v>
      </c>
      <c r="B5" s="14" t="n">
        <v>150000</v>
      </c>
      <c r="C5" s="14" t="n">
        <v>50000</v>
      </c>
      <c r="D5" s="14" t="n">
        <v>100000</v>
      </c>
      <c r="E5" s="14" t="n">
        <v>90000</v>
      </c>
      <c r="F5" s="14" t="n">
        <v>70000</v>
      </c>
      <c r="G5" s="14" t="n">
        <v>40000</v>
      </c>
      <c r="H5" s="14" t="n">
        <v>20000</v>
      </c>
      <c r="I5" s="15">
        <f>SUM(B5:H5)</f>
        <v/>
      </c>
      <c r="J5" s="16">
        <f>I5-Assumptions!$B$7</f>
        <v/>
      </c>
      <c r="K5" s="17">
        <f>J5/(Assumptions!$B$5/1000)</f>
        <v/>
      </c>
      <c r="L5" s="16">
        <f>K5*Assumptions!$B$6/1000</f>
        <v/>
      </c>
    </row>
    <row r="6">
      <c r="A6" t="n">
        <v>2028</v>
      </c>
      <c r="B6" s="14" t="n">
        <v>250000</v>
      </c>
      <c r="C6" s="14" t="n">
        <v>50000</v>
      </c>
      <c r="D6" s="14" t="n">
        <v>100000</v>
      </c>
      <c r="E6" s="14" t="n">
        <v>90000</v>
      </c>
      <c r="F6" s="14" t="n">
        <v>70000</v>
      </c>
      <c r="G6" s="14" t="n">
        <v>40000</v>
      </c>
      <c r="H6" s="14" t="n">
        <v>20000</v>
      </c>
      <c r="I6" s="15">
        <f>SUM(B6:H6)</f>
        <v/>
      </c>
      <c r="J6" s="16">
        <f>I6-Assumptions!$B$7</f>
        <v/>
      </c>
      <c r="K6" s="17">
        <f>J6/(Assumptions!$B$5/1000)</f>
        <v/>
      </c>
      <c r="L6" s="16">
        <f>K6*Assumptions!$B$6/1000</f>
        <v/>
      </c>
    </row>
    <row r="7">
      <c r="A7" t="n">
        <v>2029</v>
      </c>
      <c r="B7" s="14" t="n">
        <v>250000</v>
      </c>
      <c r="C7" s="14" t="n">
        <v>50000</v>
      </c>
      <c r="D7" s="14" t="n">
        <v>100000</v>
      </c>
      <c r="E7" s="14" t="n">
        <v>90000</v>
      </c>
      <c r="F7" s="14" t="n">
        <v>70000</v>
      </c>
      <c r="G7" s="14" t="n">
        <v>40000</v>
      </c>
      <c r="H7" s="14" t="n">
        <v>20000</v>
      </c>
      <c r="I7" s="15">
        <f>SUM(B7:H7)</f>
        <v/>
      </c>
      <c r="J7" s="16">
        <f>I7-Assumptions!$B$7</f>
        <v/>
      </c>
      <c r="K7" s="17">
        <f>J7/(Assumptions!$B$5/1000)</f>
        <v/>
      </c>
      <c r="L7" s="16">
        <f>K7*Assumptions!$B$6/1000</f>
        <v/>
      </c>
    </row>
    <row r="8">
      <c r="A8" t="n">
        <v>2030</v>
      </c>
      <c r="B8" s="14" t="n">
        <v>300000</v>
      </c>
      <c r="C8" s="14" t="n">
        <v>25000</v>
      </c>
      <c r="D8" s="14" t="n">
        <v>100000</v>
      </c>
      <c r="E8" s="14" t="n">
        <v>90000</v>
      </c>
      <c r="F8" s="14" t="n">
        <v>70000</v>
      </c>
      <c r="G8" s="14" t="n">
        <v>40000</v>
      </c>
      <c r="H8" s="14" t="n">
        <v>20000</v>
      </c>
      <c r="I8" s="15">
        <f>SUM(B8:H8)</f>
        <v/>
      </c>
      <c r="J8" s="16">
        <f>I8-Assumptions!$B$7</f>
        <v/>
      </c>
      <c r="K8" s="17">
        <f>J8/(Assumptions!$B$5/1000)</f>
        <v/>
      </c>
      <c r="L8" s="16">
        <f>K8*Assumptions!$B$6/1000</f>
        <v/>
      </c>
    </row>
    <row r="9">
      <c r="A9" t="n">
        <v>2031</v>
      </c>
      <c r="B9" s="14" t="n">
        <v>250000</v>
      </c>
      <c r="C9" s="14" t="n">
        <v>25000</v>
      </c>
      <c r="D9" s="14" t="n">
        <v>100000</v>
      </c>
      <c r="E9" s="14" t="n">
        <v>90000</v>
      </c>
      <c r="F9" s="14" t="n">
        <v>70000</v>
      </c>
      <c r="G9" s="14" t="n">
        <v>40000</v>
      </c>
      <c r="H9" s="14" t="n">
        <v>20000</v>
      </c>
      <c r="I9" s="15">
        <f>SUM(B9:H9)</f>
        <v/>
      </c>
      <c r="J9" s="16">
        <f>I9-Assumptions!$B$7</f>
        <v/>
      </c>
      <c r="K9" s="17">
        <f>J9/(Assumptions!$B$5/1000)</f>
        <v/>
      </c>
      <c r="L9" s="16">
        <f>K9*Assumptions!$B$6/1000</f>
        <v/>
      </c>
    </row>
    <row r="10">
      <c r="A10" t="n">
        <v>2032</v>
      </c>
      <c r="B10" s="14" t="n">
        <v>0</v>
      </c>
      <c r="C10" s="14" t="n">
        <v>25000</v>
      </c>
      <c r="D10" s="14" t="n">
        <v>100000</v>
      </c>
      <c r="E10" s="14" t="n">
        <v>90000</v>
      </c>
      <c r="F10" s="14" t="n">
        <v>70000</v>
      </c>
      <c r="G10" s="14" t="n">
        <v>40000</v>
      </c>
      <c r="H10" s="14" t="n">
        <v>20000</v>
      </c>
      <c r="I10" s="15">
        <f>SUM(B10:H10)</f>
        <v/>
      </c>
      <c r="J10" s="16">
        <f>I10-Assumptions!$B$7</f>
        <v/>
      </c>
      <c r="K10" s="17">
        <f>J10/(Assumptions!$B$5/1000)</f>
        <v/>
      </c>
      <c r="L10" s="16">
        <f>K10*Assumptions!$B$6/1000</f>
        <v/>
      </c>
    </row>
    <row r="11">
      <c r="A11" t="n">
        <v>2033</v>
      </c>
      <c r="B11" s="14" t="n">
        <v>0</v>
      </c>
      <c r="C11" s="14" t="n">
        <v>25000</v>
      </c>
      <c r="D11" s="14" t="n">
        <v>100000</v>
      </c>
      <c r="E11" s="14" t="n">
        <v>90000</v>
      </c>
      <c r="F11" s="14" t="n">
        <v>70000</v>
      </c>
      <c r="G11" s="14" t="n">
        <v>40000</v>
      </c>
      <c r="H11" s="14" t="n">
        <v>20000</v>
      </c>
      <c r="I11" s="15">
        <f>SUM(B11:H11)</f>
        <v/>
      </c>
      <c r="J11" s="16">
        <f>I11-Assumptions!$B$7</f>
        <v/>
      </c>
      <c r="K11" s="17">
        <f>J11/(Assumptions!$B$5/1000)</f>
        <v/>
      </c>
      <c r="L11" s="16">
        <f>K11*Assumptions!$B$6/1000</f>
        <v/>
      </c>
    </row>
    <row r="12">
      <c r="A12" t="n">
        <v>2034</v>
      </c>
      <c r="B12" s="14" t="n">
        <v>0</v>
      </c>
      <c r="C12" s="14" t="n">
        <v>25000</v>
      </c>
      <c r="D12" s="14" t="n">
        <v>100000</v>
      </c>
      <c r="E12" s="14" t="n">
        <v>90000</v>
      </c>
      <c r="F12" s="14" t="n">
        <v>70000</v>
      </c>
      <c r="G12" s="14" t="n">
        <v>40000</v>
      </c>
      <c r="H12" s="14" t="n">
        <v>20000</v>
      </c>
      <c r="I12" s="15">
        <f>SUM(B12:H12)</f>
        <v/>
      </c>
      <c r="J12" s="16">
        <f>I12-Assumptions!$B$7</f>
        <v/>
      </c>
      <c r="K12" s="17">
        <f>J12/(Assumptions!$B$5/1000)</f>
        <v/>
      </c>
      <c r="L12" s="16">
        <f>K12*Assumptions!$B$6/1000</f>
        <v/>
      </c>
    </row>
    <row r="13">
      <c r="A13" t="n">
        <v>2035</v>
      </c>
      <c r="B13" s="14" t="n">
        <v>0</v>
      </c>
      <c r="C13" s="14" t="n">
        <v>25000</v>
      </c>
      <c r="D13" s="14" t="n">
        <v>100000</v>
      </c>
      <c r="E13" s="14" t="n">
        <v>90000</v>
      </c>
      <c r="F13" s="14" t="n">
        <v>70000</v>
      </c>
      <c r="G13" s="14" t="n">
        <v>40000</v>
      </c>
      <c r="H13" s="14" t="n">
        <v>20000</v>
      </c>
      <c r="I13" s="15">
        <f>SUM(B13:H13)</f>
        <v/>
      </c>
      <c r="J13" s="16">
        <f>I13-Assumptions!$B$7</f>
        <v/>
      </c>
      <c r="K13" s="17">
        <f>J13/(Assumptions!$B$5/1000)</f>
        <v/>
      </c>
      <c r="L13" s="16">
        <f>K13*Assumptions!$B$6/1000</f>
        <v/>
      </c>
    </row>
    <row r="14">
      <c r="A14" t="n">
        <v>2036</v>
      </c>
      <c r="B14" s="14" t="n">
        <v>0</v>
      </c>
      <c r="C14" s="14" t="n">
        <v>25000</v>
      </c>
      <c r="D14" s="14" t="n">
        <v>100000</v>
      </c>
      <c r="E14" s="14" t="n">
        <v>90000</v>
      </c>
      <c r="F14" s="14" t="n">
        <v>70000</v>
      </c>
      <c r="G14" s="14" t="n">
        <v>40000</v>
      </c>
      <c r="H14" s="14" t="n">
        <v>20000</v>
      </c>
      <c r="I14" s="15">
        <f>SUM(B14:H14)</f>
        <v/>
      </c>
      <c r="J14" s="16">
        <f>I14-Assumptions!$B$7</f>
        <v/>
      </c>
      <c r="K14" s="17">
        <f>J14/(Assumptions!$B$5/1000)</f>
        <v/>
      </c>
      <c r="L14" s="16">
        <f>K14*Assumptions!$B$6/1000</f>
        <v/>
      </c>
    </row>
    <row r="16">
      <c r="K16" s="4" t="inlineStr">
        <is>
          <t>Peak impact on median home</t>
        </is>
      </c>
      <c r="L16" s="18">
        <f>MAX(L5:L14)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State Bridge Aid Calculator (RSA 234)</t>
        </is>
      </c>
    </row>
    <row r="2">
      <c r="A2" s="2" t="inlineStr">
        <is>
          <t>Edit the bridge cost; the 80/20 split recomputes.</t>
        </is>
      </c>
    </row>
    <row r="4">
      <c r="A4" s="4" t="inlineStr">
        <is>
          <t>Eligible bridge cost</t>
        </is>
      </c>
      <c r="B4" s="19" t="n">
        <v>1000000</v>
      </c>
    </row>
    <row r="5">
      <c r="A5" s="4" t="inlineStr">
        <is>
          <t>State share</t>
        </is>
      </c>
      <c r="B5" s="10">
        <f>Assumptions!$B$8</f>
        <v/>
      </c>
    </row>
    <row r="6">
      <c r="A6" s="4" t="inlineStr">
        <is>
          <t>State pays</t>
        </is>
      </c>
      <c r="B6" s="9">
        <f>B4*B5</f>
        <v/>
      </c>
    </row>
    <row r="7">
      <c r="A7" s="20" t="inlineStr">
        <is>
          <t>Town share (bank in Bridge reserve)</t>
        </is>
      </c>
      <c r="B7" s="21">
        <f>B4-B6</f>
        <v/>
      </c>
    </row>
    <row r="9">
      <c r="A9" s="2" t="inlineStr">
        <is>
          <t>Prerequisite: current biennial inspection; on NHDOT program list. Contingent on annual state appropriation.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42" customWidth="1" min="3" max="3"/>
    <col width="12" customWidth="1" min="4" max="4"/>
    <col width="7" customWidth="1" min="5" max="5"/>
    <col width="7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Capital &amp; Special Warrant Votes — the historical pattern</t>
        </is>
      </c>
    </row>
    <row r="2">
      <c r="A2" s="2" t="inlineStr">
        <is>
          <t>% YES computed. Note: reserves &amp; credits clear easily; facility BONDS win majorities but die at the 3/5 wall.</t>
        </is>
      </c>
    </row>
    <row r="4">
      <c r="A4" s="3" t="inlineStr">
        <is>
          <t>Year</t>
        </is>
      </c>
      <c r="B4" s="3" t="inlineStr">
        <is>
          <t>Art</t>
        </is>
      </c>
      <c r="C4" s="3" t="inlineStr">
        <is>
          <t>Topic</t>
        </is>
      </c>
      <c r="D4" s="3" t="inlineStr">
        <is>
          <t>Amount</t>
        </is>
      </c>
      <c r="E4" s="3" t="inlineStr">
        <is>
          <t>YES</t>
        </is>
      </c>
      <c r="F4" s="3" t="inlineStr">
        <is>
          <t>NO</t>
        </is>
      </c>
      <c r="G4" s="3" t="inlineStr">
        <is>
          <t>% YES</t>
        </is>
      </c>
      <c r="H4" s="3" t="inlineStr">
        <is>
          <t>Threshold</t>
        </is>
      </c>
      <c r="I4" s="3" t="inlineStr">
        <is>
          <t>Result</t>
        </is>
      </c>
    </row>
    <row r="5">
      <c r="A5" t="n">
        <v>2015</v>
      </c>
      <c r="B5" t="inlineStr">
        <is>
          <t>3</t>
        </is>
      </c>
      <c r="C5" t="inlineStr">
        <is>
          <t>Capital / borrowing</t>
        </is>
      </c>
      <c r="E5" t="n">
        <v>578</v>
      </c>
      <c r="F5" t="n">
        <v>294</v>
      </c>
      <c r="G5" s="10">
        <f>E5/(E5+F5)</f>
        <v/>
      </c>
      <c r="H5" t="inlineStr">
        <is>
          <t>3/5</t>
        </is>
      </c>
      <c r="I5" s="23" t="inlineStr">
        <is>
          <t>PASS</t>
        </is>
      </c>
    </row>
    <row r="6">
      <c r="A6" t="n">
        <v>2023</v>
      </c>
      <c r="B6" t="inlineStr">
        <is>
          <t>4</t>
        </is>
      </c>
      <c r="C6" t="inlineStr">
        <is>
          <t>Capital reserve deposit</t>
        </is>
      </c>
      <c r="D6" s="9" t="n">
        <v>272000</v>
      </c>
      <c r="E6" t="n">
        <v>470</v>
      </c>
      <c r="F6" t="n">
        <v>178</v>
      </c>
      <c r="G6" s="10">
        <f>E6/(E6+F6)</f>
        <v/>
      </c>
      <c r="H6" t="inlineStr">
        <is>
          <t>majority</t>
        </is>
      </c>
      <c r="I6" s="23" t="inlineStr">
        <is>
          <t>PASS</t>
        </is>
      </c>
    </row>
    <row r="7">
      <c r="A7" t="n">
        <v>2023</v>
      </c>
      <c r="B7" t="inlineStr">
        <is>
          <t>5</t>
        </is>
      </c>
      <c r="C7" t="inlineStr">
        <is>
          <t>Capital reserve deposit</t>
        </is>
      </c>
      <c r="D7" s="9" t="n">
        <v>590000</v>
      </c>
      <c r="E7" t="n">
        <v>494</v>
      </c>
      <c r="F7" t="n">
        <v>141</v>
      </c>
      <c r="G7" s="10">
        <f>E7/(E7+F7)</f>
        <v/>
      </c>
      <c r="H7" t="inlineStr">
        <is>
          <t>majority</t>
        </is>
      </c>
      <c r="I7" s="23" t="inlineStr">
        <is>
          <t>PASS</t>
        </is>
      </c>
    </row>
    <row r="8">
      <c r="A8" t="n">
        <v>2023</v>
      </c>
      <c r="B8" t="inlineStr">
        <is>
          <t>6</t>
        </is>
      </c>
      <c r="C8" t="inlineStr">
        <is>
          <t>Capital reserve deposit</t>
        </is>
      </c>
      <c r="D8" s="9" t="n">
        <v>261976</v>
      </c>
      <c r="E8" t="n">
        <v>528</v>
      </c>
      <c r="F8" t="n">
        <v>112</v>
      </c>
      <c r="G8" s="10">
        <f>E8/(E8+F8)</f>
        <v/>
      </c>
      <c r="H8" t="inlineStr">
        <is>
          <t>majority</t>
        </is>
      </c>
      <c r="I8" s="23" t="inlineStr">
        <is>
          <t>PASS</t>
        </is>
      </c>
    </row>
    <row r="9">
      <c r="A9" t="n">
        <v>2023</v>
      </c>
      <c r="B9" t="inlineStr">
        <is>
          <t>7</t>
        </is>
      </c>
      <c r="C9" t="inlineStr">
        <is>
          <t>Fire Stations Capital Reserve</t>
        </is>
      </c>
      <c r="D9" s="9" t="n">
        <v>300000</v>
      </c>
      <c r="E9" t="n">
        <v>365</v>
      </c>
      <c r="F9" t="n">
        <v>268</v>
      </c>
      <c r="G9" s="10">
        <f>E9/(E9+F9)</f>
        <v/>
      </c>
      <c r="H9" t="inlineStr">
        <is>
          <t>majority</t>
        </is>
      </c>
      <c r="I9" s="23" t="inlineStr">
        <is>
          <t>PASS (narrow)</t>
        </is>
      </c>
    </row>
    <row r="10">
      <c r="A10" t="n">
        <v>2023</v>
      </c>
      <c r="B10" t="inlineStr">
        <is>
          <t>10</t>
        </is>
      </c>
      <c r="C10" t="inlineStr">
        <is>
          <t>All-Veterans tax credit</t>
        </is>
      </c>
      <c r="E10" t="n">
        <v>569</v>
      </c>
      <c r="F10" t="n">
        <v>67</v>
      </c>
      <c r="G10" s="10">
        <f>E10/(E10+F10)</f>
        <v/>
      </c>
      <c r="H10" t="inlineStr">
        <is>
          <t>majority</t>
        </is>
      </c>
      <c r="I10" s="23" t="inlineStr">
        <is>
          <t>PASS</t>
        </is>
      </c>
    </row>
    <row r="11">
      <c r="A11" t="n">
        <v>2024</v>
      </c>
      <c r="B11" t="inlineStr">
        <is>
          <t>—</t>
        </is>
      </c>
      <c r="C11" t="inlineStr">
        <is>
          <t>Bond / revolving fund</t>
        </is>
      </c>
      <c r="E11" t="n">
        <v>702</v>
      </c>
      <c r="F11" t="n">
        <v>582</v>
      </c>
      <c r="G11" s="10">
        <f>E11/(E11+F11)</f>
        <v/>
      </c>
      <c r="H11" t="inlineStr">
        <is>
          <t>3/5</t>
        </is>
      </c>
      <c r="I11" s="24" t="inlineStr">
        <is>
          <t>FAIL</t>
        </is>
      </c>
    </row>
    <row r="12">
      <c r="A12" t="n">
        <v>2024</v>
      </c>
      <c r="B12" t="inlineStr">
        <is>
          <t>—</t>
        </is>
      </c>
      <c r="C12" t="inlineStr">
        <is>
          <t>Capital (3/5)</t>
        </is>
      </c>
      <c r="E12" t="n">
        <v>821</v>
      </c>
      <c r="F12" t="n">
        <v>448</v>
      </c>
      <c r="G12" s="10">
        <f>E12/(E12+F12)</f>
        <v/>
      </c>
      <c r="H12" t="inlineStr">
        <is>
          <t>3/5</t>
        </is>
      </c>
      <c r="I12" s="23" t="inlineStr">
        <is>
          <t>PASS</t>
        </is>
      </c>
    </row>
    <row r="13">
      <c r="A13" t="n">
        <v>2025</v>
      </c>
      <c r="B13" t="inlineStr">
        <is>
          <t>4</t>
        </is>
      </c>
      <c r="C13" t="inlineStr">
        <is>
          <t>Water / infrastructure</t>
        </is>
      </c>
      <c r="D13" s="9" t="n">
        <v>3500000</v>
      </c>
      <c r="E13" t="n">
        <v>864</v>
      </c>
      <c r="F13" t="n">
        <v>529</v>
      </c>
      <c r="G13" s="10">
        <f>E13/(E13+F13)</f>
        <v/>
      </c>
      <c r="H13" t="inlineStr">
        <is>
          <t>3/5</t>
        </is>
      </c>
      <c r="I13" s="23" t="inlineStr">
        <is>
          <t>PASS</t>
        </is>
      </c>
    </row>
    <row r="14">
      <c r="A14" t="n">
        <v>2025</v>
      </c>
      <c r="B14" t="inlineStr">
        <is>
          <t>6</t>
        </is>
      </c>
      <c r="C14" t="inlineStr">
        <is>
          <t>DWSRF study (100% principal forgiveness)</t>
        </is>
      </c>
      <c r="D14" s="9" t="n">
        <v>100000</v>
      </c>
      <c r="E14" t="n">
        <v>998</v>
      </c>
      <c r="F14" t="n">
        <v>406</v>
      </c>
      <c r="G14" s="10">
        <f>E14/(E14+F14)</f>
        <v/>
      </c>
      <c r="H14" t="inlineStr">
        <is>
          <t>majority</t>
        </is>
      </c>
      <c r="I14" s="23" t="inlineStr">
        <is>
          <t>PASS</t>
        </is>
      </c>
    </row>
    <row r="15">
      <c r="A15" t="n">
        <v>2025</v>
      </c>
      <c r="B15" t="inlineStr">
        <is>
          <t>12</t>
        </is>
      </c>
      <c r="C15" t="inlineStr">
        <is>
          <t>Acquire West Swanzey water system</t>
        </is>
      </c>
      <c r="E15" t="n">
        <v>822</v>
      </c>
      <c r="F15" t="n">
        <v>553</v>
      </c>
      <c r="G15" s="10">
        <f>E15/(E15+F15)</f>
        <v/>
      </c>
      <c r="H15" t="inlineStr">
        <is>
          <t>majority</t>
        </is>
      </c>
      <c r="I15" s="23" t="inlineStr">
        <is>
          <t>PASS</t>
        </is>
      </c>
    </row>
    <row r="16">
      <c r="A16" t="n">
        <v>2025</v>
      </c>
      <c r="B16" t="inlineStr">
        <is>
          <t>13</t>
        </is>
      </c>
      <c r="C16" t="inlineStr">
        <is>
          <t>Ambulance Expendable Trust</t>
        </is>
      </c>
      <c r="D16" s="9" t="n">
        <v>100000</v>
      </c>
      <c r="E16" t="n">
        <v>1060</v>
      </c>
      <c r="F16" t="n">
        <v>350</v>
      </c>
      <c r="G16" s="10">
        <f>E16/(E16+F16)</f>
        <v/>
      </c>
      <c r="H16" t="inlineStr">
        <is>
          <t>majority</t>
        </is>
      </c>
      <c r="I16" s="23" t="inlineStr">
        <is>
          <t>PASS</t>
        </is>
      </c>
    </row>
    <row r="17">
      <c r="A17" t="n">
        <v>2025</v>
      </c>
      <c r="B17" t="inlineStr">
        <is>
          <t>15</t>
        </is>
      </c>
      <c r="C17" t="inlineStr">
        <is>
          <t>Increase Select Board 3→5</t>
        </is>
      </c>
      <c r="E17" t="n">
        <v>740</v>
      </c>
      <c r="F17" t="n">
        <v>653</v>
      </c>
      <c r="G17" s="10">
        <f>E17/(E17+F17)</f>
        <v/>
      </c>
      <c r="H17" t="inlineStr">
        <is>
          <t>majority</t>
        </is>
      </c>
      <c r="I17" s="23" t="inlineStr">
        <is>
          <t>PASS</t>
        </is>
      </c>
    </row>
    <row r="18">
      <c r="A18" t="n">
        <v>2025</v>
      </c>
      <c r="B18" t="inlineStr">
        <is>
          <t>16</t>
        </is>
      </c>
      <c r="C18" t="inlineStr">
        <is>
          <t>Second polling location (petition)</t>
        </is>
      </c>
      <c r="E18" t="n">
        <v>673</v>
      </c>
      <c r="F18" t="n">
        <v>727</v>
      </c>
      <c r="G18" s="10">
        <f>E18/(E18+F18)</f>
        <v/>
      </c>
      <c r="H18" t="inlineStr">
        <is>
          <t>majority</t>
        </is>
      </c>
      <c r="I18" s="24" t="inlineStr">
        <is>
          <t>FAIL</t>
        </is>
      </c>
    </row>
    <row r="19">
      <c r="A19" t="n">
        <v>2026</v>
      </c>
      <c r="B19" t="inlineStr">
        <is>
          <t>3</t>
        </is>
      </c>
      <c r="C19" t="inlineStr">
        <is>
          <t>Public Works Facility ($1.2M)</t>
        </is>
      </c>
      <c r="D19" s="9" t="n">
        <v>1200000</v>
      </c>
      <c r="E19" t="n">
        <v>681</v>
      </c>
      <c r="F19" t="n">
        <v>485</v>
      </c>
      <c r="G19" s="10">
        <f>E19/(E19+F19)</f>
        <v/>
      </c>
      <c r="H19" t="inlineStr">
        <is>
          <t>3/5</t>
        </is>
      </c>
      <c r="I19" s="24" t="inlineStr">
        <is>
          <t>FAIL</t>
        </is>
      </c>
    </row>
    <row r="20">
      <c r="A20" t="n">
        <v>2026</v>
      </c>
      <c r="B20" t="inlineStr">
        <is>
          <t>—</t>
        </is>
      </c>
      <c r="C20" t="inlineStr">
        <is>
          <t>Repeal SB2 (return to floor meeting)</t>
        </is>
      </c>
      <c r="E20" t="n">
        <v>345</v>
      </c>
      <c r="F20" t="n">
        <v>809</v>
      </c>
      <c r="G20" s="10">
        <f>E20/(E20+F20)</f>
        <v/>
      </c>
      <c r="H20" t="inlineStr">
        <is>
          <t>majority</t>
        </is>
      </c>
      <c r="I20" s="24" t="inlineStr">
        <is>
          <t>FAIL</t>
        </is>
      </c>
    </row>
    <row r="22">
      <c r="C22" s="25" t="inlineStr">
        <is>
          <t>Pattern: every bond that needed 3/5 and failed (2024, 2026 facility) still won a MAJORITY. The town will save, not borrow.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4" customWidth="1" min="3" max="3"/>
    <col width="8" customWidth="1" min="4" max="4"/>
    <col width="8" customWidth="1" min="5" max="5"/>
    <col width="9" customWidth="1" min="6" max="6"/>
  </cols>
  <sheetData>
    <row r="1">
      <c r="A1" s="1" t="inlineStr">
        <is>
          <t>Operating-Budget Votes by Town-Meeting Year</t>
        </is>
      </c>
    </row>
    <row r="2">
      <c r="A2" s="2" t="inlineStr">
        <is>
          <t>As-voted margins; support has slid from ~80% to 57%. (2018 &amp; 2020 tallies not machine-readable.)</t>
        </is>
      </c>
    </row>
    <row r="4">
      <c r="A4" s="3" t="inlineStr">
        <is>
          <t>Year</t>
        </is>
      </c>
      <c r="B4" s="3" t="inlineStr">
        <is>
          <t>Operating (proposed)</t>
        </is>
      </c>
      <c r="C4" s="3" t="inlineStr">
        <is>
          <t>Default</t>
        </is>
      </c>
      <c r="D4" s="3" t="inlineStr">
        <is>
          <t>YES</t>
        </is>
      </c>
      <c r="E4" s="3" t="inlineStr">
        <is>
          <t>NO</t>
        </is>
      </c>
      <c r="F4" s="3" t="inlineStr">
        <is>
          <t>% YES</t>
        </is>
      </c>
    </row>
    <row r="5">
      <c r="A5" t="n">
        <v>2012</v>
      </c>
      <c r="B5" s="9" t="n">
        <v>5747885</v>
      </c>
      <c r="C5" s="9" t="n">
        <v>5705757</v>
      </c>
      <c r="D5" t="n">
        <v>616</v>
      </c>
      <c r="E5" t="n">
        <v>153</v>
      </c>
      <c r="F5" s="10">
        <f>D5/(D5+E5)</f>
        <v/>
      </c>
    </row>
    <row r="6">
      <c r="A6" t="n">
        <v>2013</v>
      </c>
      <c r="B6" s="9" t="n">
        <v>5824380</v>
      </c>
      <c r="C6" s="9" t="n">
        <v>5812387</v>
      </c>
      <c r="D6" t="n">
        <v>436</v>
      </c>
      <c r="E6" t="n">
        <v>131</v>
      </c>
      <c r="F6" s="10">
        <f>D6/(D6+E6)</f>
        <v/>
      </c>
    </row>
    <row r="7">
      <c r="A7" t="n">
        <v>2014</v>
      </c>
      <c r="B7" s="9" t="n">
        <v>5888782</v>
      </c>
      <c r="C7" s="9" t="n">
        <v>5821465</v>
      </c>
      <c r="D7" t="n">
        <v>495</v>
      </c>
      <c r="E7" t="n">
        <v>118</v>
      </c>
      <c r="F7" s="10">
        <f>D7/(D7+E7)</f>
        <v/>
      </c>
    </row>
    <row r="8">
      <c r="A8" t="n">
        <v>2015</v>
      </c>
      <c r="B8" s="9" t="n">
        <v>6012393</v>
      </c>
      <c r="C8" s="9" t="n">
        <v>5852076</v>
      </c>
      <c r="D8" t="n">
        <v>673</v>
      </c>
      <c r="E8" t="n">
        <v>206</v>
      </c>
      <c r="F8" s="10">
        <f>D8/(D8+E8)</f>
        <v/>
      </c>
    </row>
    <row r="9">
      <c r="A9" t="n">
        <v>2016</v>
      </c>
      <c r="B9" s="9" t="n">
        <v>6262426</v>
      </c>
      <c r="C9" s="9" t="n">
        <v>6067144</v>
      </c>
      <c r="D9" t="n">
        <v>670</v>
      </c>
      <c r="E9" t="n">
        <v>311</v>
      </c>
      <c r="F9" s="10">
        <f>D9/(D9+E9)</f>
        <v/>
      </c>
    </row>
    <row r="10">
      <c r="A10" t="n">
        <v>2017</v>
      </c>
      <c r="B10" s="9" t="n">
        <v>6210799</v>
      </c>
      <c r="C10" s="9" t="n">
        <v>6222738</v>
      </c>
      <c r="D10" t="n">
        <v>352</v>
      </c>
      <c r="E10" t="n">
        <v>168</v>
      </c>
      <c r="F10" s="10">
        <f>D10/(D10+E10)</f>
        <v/>
      </c>
    </row>
    <row r="11">
      <c r="A11" t="n">
        <v>2018</v>
      </c>
      <c r="B11" s="9" t="n">
        <v>6210799</v>
      </c>
      <c r="C11" s="9" t="n">
        <v>6302525</v>
      </c>
      <c r="D11" t="inlineStr">
        <is>
          <t>—</t>
        </is>
      </c>
      <c r="E11" t="inlineStr">
        <is>
          <t>—</t>
        </is>
      </c>
      <c r="F11" t="inlineStr">
        <is>
          <t>n/a</t>
        </is>
      </c>
    </row>
    <row r="12">
      <c r="A12" t="n">
        <v>2019</v>
      </c>
      <c r="B12" s="9" t="n">
        <v>6452435</v>
      </c>
      <c r="C12" s="9" t="n">
        <v>6122397</v>
      </c>
      <c r="D12" t="n">
        <v>606</v>
      </c>
      <c r="E12" t="n">
        <v>309</v>
      </c>
      <c r="F12" s="10">
        <f>D12/(D12+E12)</f>
        <v/>
      </c>
    </row>
    <row r="13">
      <c r="A13" t="n">
        <v>2020</v>
      </c>
      <c r="B13" s="9" t="n">
        <v>6303000</v>
      </c>
      <c r="C13" s="9" t="n">
        <v>6072735</v>
      </c>
      <c r="D13" t="inlineStr">
        <is>
          <t>—</t>
        </is>
      </c>
      <c r="E13" t="inlineStr">
        <is>
          <t>—</t>
        </is>
      </c>
      <c r="F13" t="inlineStr">
        <is>
          <t>n/a</t>
        </is>
      </c>
    </row>
    <row r="14">
      <c r="A14" t="n">
        <v>2021</v>
      </c>
      <c r="B14" s="9" t="n">
        <v>6716500</v>
      </c>
      <c r="C14" s="9" t="n">
        <v>6439109</v>
      </c>
      <c r="D14" t="n">
        <v>637</v>
      </c>
      <c r="E14" t="n">
        <v>460</v>
      </c>
      <c r="F14" s="10">
        <f>D14/(D14+E14)</f>
        <v/>
      </c>
    </row>
    <row r="15">
      <c r="A15" t="n">
        <v>2022</v>
      </c>
      <c r="B15" s="9" t="n">
        <v>6902500</v>
      </c>
      <c r="C15" s="9" t="n">
        <v>6864706</v>
      </c>
      <c r="D15" t="n">
        <v>751</v>
      </c>
      <c r="E15" t="n">
        <v>262</v>
      </c>
      <c r="F15" s="10">
        <f>D15/(D15+E15)</f>
        <v/>
      </c>
    </row>
    <row r="16">
      <c r="A16" t="n">
        <v>2023</v>
      </c>
      <c r="B16" s="9" t="n">
        <v>7425000</v>
      </c>
      <c r="C16" s="9" t="n">
        <v>7468834</v>
      </c>
      <c r="D16" t="n">
        <v>388</v>
      </c>
      <c r="E16" t="n">
        <v>236</v>
      </c>
      <c r="F16" s="10">
        <f>D16/(D16+E16)</f>
        <v/>
      </c>
    </row>
    <row r="17">
      <c r="A17" t="n">
        <v>2024</v>
      </c>
      <c r="B17" s="9" t="n">
        <v>7961500</v>
      </c>
      <c r="C17" s="9" t="n">
        <v>7935699</v>
      </c>
      <c r="D17" t="n">
        <v>738</v>
      </c>
      <c r="E17" t="n">
        <v>530</v>
      </c>
      <c r="F17" s="10">
        <f>D17/(D17+E17)</f>
        <v/>
      </c>
    </row>
    <row r="18">
      <c r="A18" t="n">
        <v>2025</v>
      </c>
      <c r="B18" s="9" t="n">
        <v>8370000</v>
      </c>
      <c r="C18" s="9" t="n">
        <v>7935699</v>
      </c>
      <c r="D18" t="n">
        <v>800</v>
      </c>
      <c r="E18" t="n">
        <v>596</v>
      </c>
      <c r="F18" s="10">
        <f>D18/(D18+E18)</f>
        <v/>
      </c>
    </row>
    <row r="19">
      <c r="A19" t="n">
        <v>2026</v>
      </c>
      <c r="B19" s="9" t="n">
        <v>8939036</v>
      </c>
      <c r="C19" s="9" t="n">
        <v>8891785</v>
      </c>
      <c r="D19" t="inlineStr">
        <is>
          <t>—</t>
        </is>
      </c>
      <c r="E19" t="inlineStr">
        <is>
          <t>—</t>
        </is>
      </c>
      <c r="F19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7" customWidth="1" min="4" max="4"/>
    <col width="34" customWidth="1" min="5" max="5"/>
    <col width="24" customWidth="1" min="6" max="6"/>
  </cols>
  <sheetData>
    <row r="1">
      <c r="A1" s="1" t="inlineStr">
        <is>
          <t>Select Board Elections &amp; Turnover</t>
        </is>
      </c>
    </row>
    <row r="2">
      <c r="A2" s="2" t="inlineStr">
        <is>
          <t>Candidate vote totals where reported; ~ = approximate. Rising volatility compounds administrator churn.</t>
        </is>
      </c>
    </row>
    <row r="4">
      <c r="A4" s="3" t="inlineStr">
        <is>
          <t>Year</t>
        </is>
      </c>
      <c r="B4" s="3" t="inlineStr">
        <is>
          <t>Seat</t>
        </is>
      </c>
      <c r="C4" s="3" t="inlineStr">
        <is>
          <t>Winner</t>
        </is>
      </c>
      <c r="D4" s="3" t="inlineStr">
        <is>
          <t>Votes</t>
        </is>
      </c>
      <c r="E4" s="3" t="inlineStr">
        <is>
          <t>Notable challengers</t>
        </is>
      </c>
      <c r="F4" s="3" t="inlineStr">
        <is>
          <t>Signal</t>
        </is>
      </c>
    </row>
    <row r="5">
      <c r="A5" t="n">
        <v>2022</v>
      </c>
      <c r="B5" t="inlineStr">
        <is>
          <t>3-yr</t>
        </is>
      </c>
      <c r="C5" t="inlineStr">
        <is>
          <t>Sly Karasinski</t>
        </is>
      </c>
      <c r="D5" t="n">
        <v>672</v>
      </c>
      <c r="E5" t="inlineStr">
        <is>
          <t>strong / uncontested</t>
        </is>
      </c>
      <c r="F5" t="inlineStr">
        <is>
          <t>incumbent retained</t>
        </is>
      </c>
    </row>
    <row r="6">
      <c r="A6" t="n">
        <v>2023</v>
      </c>
      <c r="B6" t="inlineStr">
        <is>
          <t>3-yr</t>
        </is>
      </c>
      <c r="C6" t="inlineStr">
        <is>
          <t>Bill Hutwelker</t>
        </is>
      </c>
      <c r="D6" t="n">
        <v>394</v>
      </c>
      <c r="E6" t="inlineStr">
        <is>
          <t>Michael York 216</t>
        </is>
      </c>
      <c r="F6" t="inlineStr">
        <is>
          <t>contested</t>
        </is>
      </c>
    </row>
    <row r="7">
      <c r="A7" t="n">
        <v>2023</v>
      </c>
      <c r="B7" t="inlineStr">
        <is>
          <t>seat</t>
        </is>
      </c>
      <c r="C7" t="inlineStr">
        <is>
          <t>Victoria Reck Ames</t>
        </is>
      </c>
      <c r="D7" t="n">
        <v>442</v>
      </c>
      <c r="E7" t="inlineStr">
        <is>
          <t>Brandon Self 418</t>
        </is>
      </c>
      <c r="F7" t="inlineStr">
        <is>
          <t>won by 24 — new face</t>
        </is>
      </c>
    </row>
    <row r="8">
      <c r="A8" t="n">
        <v>2024</v>
      </c>
      <c r="B8" t="inlineStr">
        <is>
          <t>3-yr</t>
        </is>
      </c>
      <c r="C8" t="inlineStr">
        <is>
          <t>James Tempesta</t>
        </is>
      </c>
      <c r="D8" t="n">
        <v>461</v>
      </c>
      <c r="E8" t="inlineStr">
        <is>
          <t>Ward 294, LaBelle 288, Thorne 105</t>
        </is>
      </c>
      <c r="F8" t="inlineStr">
        <is>
          <t>crowded field</t>
        </is>
      </c>
    </row>
    <row r="9">
      <c r="A9" t="n">
        <v>2026</v>
      </c>
      <c r="B9" t="inlineStr">
        <is>
          <t>3-yr</t>
        </is>
      </c>
      <c r="C9" t="inlineStr">
        <is>
          <t>James Ward</t>
        </is>
      </c>
      <c r="D9" t="n">
        <v>545</v>
      </c>
      <c r="E9" t="inlineStr">
        <is>
          <t>Tatro 481, York 414</t>
        </is>
      </c>
      <c r="F9" t="inlineStr">
        <is>
          <t>incumbents challenged</t>
        </is>
      </c>
    </row>
    <row r="10">
      <c r="A10" t="n">
        <v>2026</v>
      </c>
      <c r="B10" t="inlineStr">
        <is>
          <t>1-yr (new 5th)</t>
        </is>
      </c>
      <c r="C10" t="inlineStr">
        <is>
          <t>Alan Gross</t>
        </is>
      </c>
      <c r="D10" t="n">
        <v>678</v>
      </c>
      <c r="E10" t="inlineStr">
        <is>
          <t>Elizabeth Traynor 408</t>
        </is>
      </c>
      <c r="F10" t="inlineStr">
        <is>
          <t>first 5th-seat race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70" customWidth="1" min="3" max="3"/>
  </cols>
  <sheetData>
    <row r="1">
      <c r="A1" s="1" t="inlineStr">
        <is>
          <t>Assumptions — edit the amber cells</t>
        </is>
      </c>
    </row>
    <row r="2">
      <c r="A2" s="2" t="inlineStr">
        <is>
          <t>Everything else recomputes. Replace placeholders with the Town's real MS-1 valuation when available.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Total assessed valuation (MS-1)</t>
        </is>
      </c>
      <c r="B5" s="19" t="n">
        <v>978600000</v>
      </c>
      <c r="C5" s="2" t="inlineStr">
        <is>
          <t>Planning estimate — REPLACE with the Town's actual total assessed value</t>
        </is>
      </c>
    </row>
    <row r="6">
      <c r="A6" s="4" t="inlineStr">
        <is>
          <t>Median home (assessed value)</t>
        </is>
      </c>
      <c r="B6" s="19" t="n">
        <v>300000</v>
      </c>
      <c r="C6" s="2" t="inlineStr">
        <is>
          <t>Used to translate the rate into a typical tax bill</t>
        </is>
      </c>
    </row>
    <row r="7">
      <c r="A7" s="4" t="inlineStr">
        <is>
          <t>Capital already in today's rate</t>
        </is>
      </c>
      <c r="B7" s="19" t="n">
        <v>403000</v>
      </c>
      <c r="C7" s="2" t="inlineStr">
        <is>
          <t>Existing debt service (~$338K) + capital outlay (~$65K); the net-new impact is measured against this</t>
        </is>
      </c>
    </row>
    <row r="8">
      <c r="A8" s="4" t="inlineStr">
        <is>
          <t>State Bridge Aid share (RSA 234)</t>
        </is>
      </c>
      <c r="B8" s="22" t="n">
        <v>0.8</v>
      </c>
      <c r="C8" s="2" t="inlineStr">
        <is>
          <t>State pays this share of an eligible town bridge</t>
        </is>
      </c>
    </row>
    <row r="9">
      <c r="A9" s="4" t="inlineStr">
        <is>
          <t>Bond interest rate (if ever used)</t>
        </is>
      </c>
      <c r="B9" s="22" t="n">
        <v>0.04</v>
      </c>
      <c r="C9" s="2" t="inlineStr">
        <is>
          <t>Reference only — the plan uses $0 bonds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2026-06-08T10:22:10Z</dcterms:created>
  <dcterms:modified xmlns:dcterms="http://purl.org/dc/terms/" xmlns:xsi="http://www.w3.org/2001/XMLSchema-instance" xsi:type="dcterms:W3CDTF">2026-06-08T10:24:57Z</dcterms:modified>
</cp:coreProperties>
</file>