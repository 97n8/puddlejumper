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ExampleA_RuralTown" sheetId="3" state="visible" r:id="rId3"/>
    <sheet name="ExampleB_CapitalDeal" sheetId="4" state="visible" r:id="rId4"/>
    <sheet name="PublicLogic_Revenue" sheetId="5" state="visible" r:id="rId5"/>
    <sheet name="GrantWriting_H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55555"/>
      <sz val="9"/>
    </font>
    <font>
      <b val="1"/>
      <color rgb="001F4E5F"/>
      <sz val="11"/>
    </font>
    <font>
      <b val="1"/>
      <color rgb="00FFFFFF"/>
      <sz val="11"/>
    </font>
    <font>
      <b val="1"/>
      <color rgb="00888888"/>
      <sz val="9"/>
    </font>
    <font>
      <b val="1"/>
    </font>
    <font>
      <b val="1"/>
      <color rgb="001F4E5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9" fontId="0" fillId="3" borderId="1" pivotButton="0" quotePrefix="0" xfId="0"/>
    <xf numFmtId="3" fontId="0" fillId="3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3" fontId="0" fillId="0" borderId="1" pivotButton="0" quotePrefix="0" xfId="0"/>
    <xf numFmtId="3" fontId="0" fillId="4" borderId="0" pivotButton="0" quotePrefix="0" xfId="0"/>
    <xf numFmtId="3" fontId="6" fillId="4" borderId="0" pivotButton="0" quotePrefix="0" xfId="0"/>
    <xf numFmtId="3" fontId="7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0" fontId="6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PublicLogic Multi-Year Federal Funding Stack</t>
        </is>
      </c>
    </row>
    <row r="2">
      <c r="A2" s="2" t="inlineStr">
        <is>
          <t>Live-formula model. Yellow cells = editable assumptions (Inputs sheet). Green cells = live totals. Date verified: 2026-06-03. Not legal/accounting advice.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 xml:space="preserve">  Show how a PublicLogic client sustains the Discover -&gt; Honor -&gt; Understand -&gt; Improve -&gt;</t>
        </is>
      </c>
    </row>
    <row r="7">
      <c r="A7" t="inlineStr">
        <is>
          <t xml:space="preserve">  Build -&gt; Steward -&gt; Continue cycle across 5-10 year budget cycles by BRAIDING federal,</t>
        </is>
      </c>
    </row>
    <row r="8">
      <c r="A8" t="inlineStr">
        <is>
          <t xml:space="preserve">  state, tax-credit, and own-source money -- and how PublicLogic's non-contingent fee rides</t>
        </is>
      </c>
    </row>
    <row r="9">
      <c r="A9" t="inlineStr">
        <is>
          <t xml:space="preserve">  inside money the client already controls (grant-admin / project soft cost / compliance</t>
        </is>
      </c>
    </row>
    <row r="10">
      <c r="A10" t="inlineStr">
        <is>
          <t xml:space="preserve">  infrastructure) under 2 CFR 200.459.</t>
        </is>
      </c>
    </row>
    <row r="11">
      <c r="A11" t="inlineStr"/>
    </row>
    <row r="12">
      <c r="A12" s="3" t="inlineStr">
        <is>
          <t>SHEETS</t>
        </is>
      </c>
    </row>
    <row r="13">
      <c r="A13" t="inlineStr">
        <is>
          <t xml:space="preserve">  Inputs            - every assumption (rates, fees, escalators, award sizes). EDIT HERE.</t>
        </is>
      </c>
    </row>
    <row r="14">
      <c r="A14" t="inlineStr">
        <is>
          <t xml:space="preserve">  ExampleA_RuralTown- small/rural MA town, full cycle, braided multi-year stack + own-source handoff.</t>
        </is>
      </c>
    </row>
    <row r="15">
      <c r="A15" t="inlineStr">
        <is>
          <t xml:space="preserve">  ExampleB_CapitalDeal - NMTC + Section 45Q + SRF/Brownfields capital/environmental deal w/ compliance tail.</t>
        </is>
      </c>
    </row>
    <row r="16">
      <c r="A16" t="inlineStr">
        <is>
          <t xml:space="preserve">  PublicLogic_Revenue - PublicLogic's own revenue architecture across both examples; indirect-rate view.</t>
        </is>
      </c>
    </row>
    <row r="17">
      <c r="A17" t="inlineStr"/>
    </row>
    <row r="18">
      <c r="A18" s="3" t="inlineStr">
        <is>
          <t>CONVENTIONS</t>
        </is>
      </c>
    </row>
    <row r="19">
      <c r="A19" t="inlineStr">
        <is>
          <t xml:space="preserve">  * No total is hardcoded -- every total is =SUM(...) or cell arithmetic.</t>
        </is>
      </c>
    </row>
    <row r="20">
      <c r="A20" t="inlineStr">
        <is>
          <t xml:space="preserve">  * 'Bedrock' = statutory/formula/own-source/tax-credit (durable across administrations).</t>
        </is>
      </c>
    </row>
    <row r="21">
      <c r="A21" t="inlineStr">
        <is>
          <t xml:space="preserve">  * 'Volatile' = competitive discretionary (BRIC/SLCGP-class -- can vanish; see volatility register).</t>
        </is>
      </c>
    </row>
    <row r="22">
      <c r="A22" t="inlineStr">
        <is>
          <t xml:space="preserve">  * Cost-treatment route per line: ADMIN / SOFT / COMPLIANCE.</t>
        </is>
      </c>
    </row>
    <row r="23">
      <c r="A23" t="inlineStr"/>
    </row>
    <row r="24">
      <c r="A24" s="3" t="inlineStr">
        <is>
          <t>AUTHORIZATION vs APPROPRIATION vs ALLOCATION vs OBLIGATION (why statuses differ)</t>
        </is>
      </c>
    </row>
    <row r="25">
      <c r="A25" t="inlineStr">
        <is>
          <t xml:space="preserve">  Authorization = a statute permits a program to exist.</t>
        </is>
      </c>
    </row>
    <row r="26">
      <c r="A26" t="inlineStr">
        <is>
          <t xml:space="preserve">  Appropriation = Congress provides actual budget authority (annual or advance).</t>
        </is>
      </c>
    </row>
    <row r="27">
      <c r="A27" t="inlineStr">
        <is>
          <t xml:space="preserve">  Allocation    = the agency distributes that authority (e.g., formula to a state).</t>
        </is>
      </c>
    </row>
    <row r="28">
      <c r="A28" t="inlineStr">
        <is>
          <t xml:space="preserve">  Obligation    = a binding award/commitment to a specific recipient.</t>
        </is>
      </c>
    </row>
    <row r="29">
      <c r="A29" t="inlineStr">
        <is>
          <t xml:space="preserve">  DEA, BRIC, and SLCGP each looked 'alive' (authorized) while failing at appropriation or</t>
        </is>
      </c>
    </row>
    <row r="30">
      <c r="A30" t="inlineStr">
        <is>
          <t xml:space="preserve">  obligation. This model weights bedrock so the stack survives if the volatile layer is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2" customWidth="1" min="4" max="4"/>
    <col width="60" customWidth="1" min="5" max="5"/>
  </cols>
  <sheetData>
    <row r="1">
      <c r="A1" s="1" t="inlineStr">
        <is>
          <t>Inputs -- editable assumptions</t>
        </is>
      </c>
    </row>
    <row r="2">
      <c r="A2" s="2" t="inlineStr">
        <is>
          <t>Yellow cells feed every formula in the example sheets. Figures are illustrative planning assumptions, not quotes. Verify program terms against current NOFOs before use.</t>
        </is>
      </c>
    </row>
    <row r="4">
      <c r="A4" s="4" t="inlineStr">
        <is>
          <t>Key</t>
        </is>
      </c>
      <c r="B4" s="4" t="inlineStr">
        <is>
          <t>Assumption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Source / note</t>
        </is>
      </c>
    </row>
    <row r="5">
      <c r="A5" s="5" t="inlineStr">
        <is>
          <t>infl</t>
        </is>
      </c>
      <c r="B5" t="inlineStr">
        <is>
          <t>Annual escalator (fees &amp; O&amp;M)</t>
        </is>
      </c>
      <c r="C5" s="6" t="n">
        <v>0.03</v>
      </c>
      <c r="D5" t="inlineStr">
        <is>
          <t>/yr</t>
        </is>
      </c>
      <c r="E5" s="2" t="inlineStr">
        <is>
          <t>planning assumption</t>
        </is>
      </c>
    </row>
    <row r="6">
      <c r="A6" s="5" t="inlineStr">
        <is>
          <t>map_fee</t>
        </is>
      </c>
      <c r="B6" t="inlineStr">
        <is>
          <t>PublicLogic Stewardship Map fee (entry)</t>
        </is>
      </c>
      <c r="C6" s="7" t="n">
        <v>35000</v>
      </c>
      <c r="D6" t="inlineStr">
        <is>
          <t>$</t>
        </is>
      </c>
      <c r="E6" s="2" t="inlineStr">
        <is>
          <t>fixed-fee, non-contingent on award (2 CFR 200.459)</t>
        </is>
      </c>
    </row>
    <row r="7">
      <c r="A7" s="5" t="inlineStr">
        <is>
          <t>narr_fee</t>
        </is>
      </c>
      <c r="B7" t="inlineStr">
        <is>
          <t>Grant-narrative / Understand engagement</t>
        </is>
      </c>
      <c r="C7" s="7" t="n">
        <v>20000</v>
      </c>
      <c r="D7" t="inlineStr">
        <is>
          <t>$</t>
        </is>
      </c>
      <c r="E7" s="2" t="inlineStr">
        <is>
          <t>fixed-fee soft cost</t>
        </is>
      </c>
    </row>
    <row r="8">
      <c r="A8" s="5" t="inlineStr">
        <is>
          <t>build_pct</t>
        </is>
      </c>
      <c r="B8" t="inlineStr">
        <is>
          <t>PublicLogic compliance-infra on capital</t>
        </is>
      </c>
      <c r="C8" s="6" t="n">
        <v>0.04</v>
      </c>
      <c r="D8" t="inlineStr">
        <is>
          <t>of capital</t>
        </is>
      </c>
      <c r="E8" s="2" t="inlineStr">
        <is>
          <t>soft cost / 200.459 prof service; subject to approved budget</t>
        </is>
      </c>
    </row>
    <row r="9">
      <c r="A9" s="5" t="inlineStr">
        <is>
          <t>ret_fee</t>
        </is>
      </c>
      <c r="B9" t="inlineStr">
        <is>
          <t>Annual stewardship retainer (Steward/Continue)</t>
        </is>
      </c>
      <c r="C9" s="7" t="n">
        <v>24000</v>
      </c>
      <c r="D9" t="inlineStr">
        <is>
          <t>$/yr</t>
        </is>
      </c>
      <c r="E9" s="2" t="inlineStr">
        <is>
          <t>own-source operating line once federal ends</t>
        </is>
      </c>
    </row>
    <row r="10">
      <c r="A10" s="5" t="inlineStr">
        <is>
          <t>deminimis</t>
        </is>
      </c>
      <c r="B10" t="inlineStr">
        <is>
          <t>Default de minimis indirect rate</t>
        </is>
      </c>
      <c r="C10" s="6" t="n">
        <v>0.15</v>
      </c>
      <c r="D10" t="inlineStr">
        <is>
          <t>of MTDC</t>
        </is>
      </c>
      <c r="E10" s="2" t="inlineStr">
        <is>
          <t>2 CFR 200.414(f), 15% effective for awards on/after 10/1/2024</t>
        </is>
      </c>
    </row>
    <row r="11">
      <c r="A11" s="5" t="inlineStr">
        <is>
          <t>single_aud</t>
        </is>
      </c>
      <c r="B11" t="inlineStr">
        <is>
          <t>Single Audit threshold</t>
        </is>
      </c>
      <c r="C11" s="7" t="n">
        <v>1000000</v>
      </c>
      <c r="D11" t="inlineStr">
        <is>
          <t>$</t>
        </is>
      </c>
      <c r="E11" s="2" t="inlineStr">
        <is>
          <t>2 CFR 200.501, raised from $750k effective FY beginning on/after 10/1/2024</t>
        </is>
      </c>
    </row>
    <row r="12">
      <c r="A12" s="5" t="inlineStr">
        <is>
          <t>mtdc_sub</t>
        </is>
      </c>
      <c r="B12" t="inlineStr">
        <is>
          <t>MTDC per-subaward inclusion cap</t>
        </is>
      </c>
      <c r="C12" s="7" t="n">
        <v>50000</v>
      </c>
      <c r="D12" t="inlineStr">
        <is>
          <t>$</t>
        </is>
      </c>
      <c r="E12" s="2" t="inlineStr">
        <is>
          <t>2 CFR 200.1, raised from $25k in 2024 revision</t>
        </is>
      </c>
    </row>
    <row r="13">
      <c r="A13" s="5" t="inlineStr">
        <is>
          <t>ccit</t>
        </is>
      </c>
      <c r="B13" t="inlineStr">
        <is>
          <t>A: MA Community Compact IT grant (Y1)</t>
        </is>
      </c>
      <c r="C13" s="7" t="n">
        <v>150000</v>
      </c>
      <c r="D13" t="inlineStr">
        <is>
          <t>$</t>
        </is>
      </c>
      <c r="E13" s="2" t="inlineStr">
        <is>
          <t>FY2026 cap $200k, no match; verified 2026-06-03</t>
        </is>
      </c>
    </row>
    <row r="14">
      <c r="A14" s="5" t="inlineStr">
        <is>
          <t>cpg</t>
        </is>
      </c>
      <c r="B14" t="inlineStr">
        <is>
          <t>A: MA Community Planning Grant (Y2)</t>
        </is>
      </c>
      <c r="C14" s="7" t="n">
        <v>50000</v>
      </c>
      <c r="D14" t="inlineStr">
        <is>
          <t>$</t>
        </is>
      </c>
      <c r="E14" s="2" t="inlineStr">
        <is>
          <t>Community One Stop; state, low-cost planning entry</t>
        </is>
      </c>
    </row>
    <row r="15">
      <c r="A15" s="5" t="inlineStr">
        <is>
          <t>massworks</t>
        </is>
      </c>
      <c r="B15" t="inlineStr">
        <is>
          <t>A: MassWorks capital award (Y3)</t>
        </is>
      </c>
      <c r="C15" s="7" t="n">
        <v>1000000</v>
      </c>
      <c r="D15" t="inlineStr">
        <is>
          <t>$</t>
        </is>
      </c>
      <c r="E15" s="2" t="inlineStr">
        <is>
          <t>MA One Stop infrastructure (state bedrock)</t>
        </is>
      </c>
    </row>
    <row r="16">
      <c r="A16" s="5" t="inlineStr">
        <is>
          <t>cwsrf_a</t>
        </is>
      </c>
      <c r="B16" t="inlineStr">
        <is>
          <t>A: CWSRF loan principal (Y3)</t>
        </is>
      </c>
      <c r="C16" s="7" t="n">
        <v>2000000</v>
      </c>
      <c r="D16" t="inlineStr">
        <is>
          <t>$</t>
        </is>
      </c>
      <c r="E16" s="2" t="inlineStr">
        <is>
          <t>AL 66.458; project loan, 20yr</t>
        </is>
      </c>
    </row>
    <row r="17">
      <c r="A17" s="5" t="inlineStr">
        <is>
          <t>cwsrf_fgv</t>
        </is>
      </c>
      <c r="B17" t="inlineStr">
        <is>
          <t>A: CWSRF principal forgiveness share</t>
        </is>
      </c>
      <c r="C17" s="6" t="n">
        <v>0.2</v>
      </c>
      <c r="D17" t="inlineStr">
        <is>
          <t>of loan</t>
        </is>
      </c>
      <c r="E17" s="2" t="inlineStr">
        <is>
          <t>disadvantaged-community subsidy (illustrative)</t>
        </is>
      </c>
    </row>
    <row r="18">
      <c r="A18" s="5" t="inlineStr">
        <is>
          <t>slfrf_a</t>
        </is>
      </c>
      <c r="B18" t="inlineStr">
        <is>
          <t>A: ARPA SLFRF remaining to expend (Y1-2)</t>
        </is>
      </c>
      <c r="C18" s="7" t="n">
        <v>80000</v>
      </c>
      <c r="D18" t="inlineStr">
        <is>
          <t>$</t>
        </is>
      </c>
      <c r="E18" s="2" t="inlineStr">
        <is>
          <t>must expend by 12/31/2026; closing</t>
        </is>
      </c>
    </row>
    <row r="19">
      <c r="A19" s="5" t="inlineStr">
        <is>
          <t>townpop</t>
        </is>
      </c>
      <c r="B19" t="inlineStr">
        <is>
          <t>A: town population</t>
        </is>
      </c>
      <c r="C19" s="7" t="n">
        <v>4200</v>
      </c>
      <c r="D19" t="inlineStr">
        <is>
          <t>ppl</t>
        </is>
      </c>
      <c r="E19" s="2" t="inlineStr">
        <is>
          <t>small/rural MA town</t>
        </is>
      </c>
    </row>
    <row r="20">
      <c r="A20" s="5" t="inlineStr">
        <is>
          <t>qei</t>
        </is>
      </c>
      <c r="B20" t="inlineStr">
        <is>
          <t>B: NMTC Qualified Equity Investment</t>
        </is>
      </c>
      <c r="C20" s="7" t="n">
        <v>10000000</v>
      </c>
      <c r="D20" t="inlineStr">
        <is>
          <t>$</t>
        </is>
      </c>
      <c r="E20" s="2" t="inlineStr">
        <is>
          <t>AL 21.020; NMTC made permanent under OBBBA</t>
        </is>
      </c>
    </row>
    <row r="21">
      <c r="A21" s="5" t="inlineStr">
        <is>
          <t>nmtc_rate</t>
        </is>
      </c>
      <c r="B21" t="inlineStr">
        <is>
          <t>B: NMTC credit rate (7-yr total)</t>
        </is>
      </c>
      <c r="C21" s="6" t="n">
        <v>0.39</v>
      </c>
      <c r="D21" t="inlineStr">
        <is>
          <t>of QEI</t>
        </is>
      </c>
      <c r="E21" s="2" t="inlineStr">
        <is>
          <t>5%/yr yrs1-3, 6%/yr yrs4-7 = 39%</t>
        </is>
      </c>
    </row>
    <row r="22">
      <c r="A22" s="5" t="inlineStr">
        <is>
          <t>nmtc_net</t>
        </is>
      </c>
      <c r="B22" t="inlineStr">
        <is>
          <t>B: net subsidy to project (after costs)</t>
        </is>
      </c>
      <c r="C22" s="6" t="n">
        <v>0.2</v>
      </c>
      <c r="D22" t="inlineStr">
        <is>
          <t>of QEI</t>
        </is>
      </c>
      <c r="E22" s="2" t="inlineStr">
        <is>
          <t>typical net benefit after CDE fees/leverage</t>
        </is>
      </c>
    </row>
    <row r="23">
      <c r="A23" s="5" t="inlineStr">
        <is>
          <t>bf_grant</t>
        </is>
      </c>
      <c r="B23" t="inlineStr">
        <is>
          <t>B: EPA Brownfields cleanup grant</t>
        </is>
      </c>
      <c r="C23" s="7" t="n">
        <v>500000</v>
      </c>
      <c r="D23" t="inlineStr">
        <is>
          <t>$</t>
        </is>
      </c>
      <c r="E23" s="2" t="inlineStr">
        <is>
          <t>AL 66.818; 20% cost share (hardship-waivable)</t>
        </is>
      </c>
    </row>
    <row r="24">
      <c r="A24" s="5" t="inlineStr">
        <is>
          <t>bf_share</t>
        </is>
      </c>
      <c r="B24" t="inlineStr">
        <is>
          <t>B: Brownfields non-federal cost share</t>
        </is>
      </c>
      <c r="C24" s="6" t="n">
        <v>0.2</v>
      </c>
      <c r="D24" t="inlineStr">
        <is>
          <t>of grant</t>
        </is>
      </c>
      <c r="E24" s="2" t="inlineStr">
        <is>
          <t>CERCLA 104(k)</t>
        </is>
      </c>
    </row>
    <row r="25">
      <c r="A25" s="5" t="inlineStr">
        <is>
          <t>cwsrf_b</t>
        </is>
      </c>
      <c r="B25" t="inlineStr">
        <is>
          <t>B: CWSRF loan (water-quality remediation)</t>
        </is>
      </c>
      <c r="C25" s="7" t="n">
        <v>1500000</v>
      </c>
      <c r="D25" t="inlineStr">
        <is>
          <t>$</t>
        </is>
      </c>
      <c r="E25" s="2" t="inlineStr">
        <is>
          <t>AL 66.458 contaminated-sites use</t>
        </is>
      </c>
    </row>
    <row r="26">
      <c r="A26" s="5" t="inlineStr">
        <is>
          <t>co2_tons</t>
        </is>
      </c>
      <c r="B26" t="inlineStr">
        <is>
          <t>B: annual CO2 captured (metric tons)</t>
        </is>
      </c>
      <c r="C26" s="7" t="n">
        <v>8000</v>
      </c>
      <c r="D26" t="inlineStr">
        <is>
          <t>t/yr</t>
        </is>
      </c>
      <c r="E26" s="2" t="inlineStr">
        <is>
          <t>carbon capture component</t>
        </is>
      </c>
    </row>
    <row r="27">
      <c r="A27" s="5" t="inlineStr">
        <is>
          <t>q45_rate</t>
        </is>
      </c>
      <c r="B27" t="inlineStr">
        <is>
          <t>B: Section 45Q rate (utilization/EOR)</t>
        </is>
      </c>
      <c r="C27" s="8" t="n">
        <v>85</v>
      </c>
      <c r="D27" t="inlineStr">
        <is>
          <t>$/ton</t>
        </is>
      </c>
      <c r="E27" s="2" t="inlineStr">
        <is>
          <t>OBBBA raised to $85/ton, placed-in-service after 7/4/2025</t>
        </is>
      </c>
    </row>
    <row r="28">
      <c r="A28" s="5" t="inlineStr">
        <is>
          <t>q45_years</t>
        </is>
      </c>
      <c r="B28" t="inlineStr">
        <is>
          <t>B: 45Q credit period</t>
        </is>
      </c>
      <c r="C28" s="8" t="n">
        <v>12</v>
      </c>
      <c r="D28" t="inlineStr">
        <is>
          <t>yrs</t>
        </is>
      </c>
      <c r="E28" s="2" t="inlineStr">
        <is>
          <t>statutory 12-yr period</t>
        </is>
      </c>
    </row>
    <row r="29">
      <c r="A29" s="5" t="inlineStr">
        <is>
          <t>directpay</t>
        </is>
      </c>
      <c r="B29" t="inlineStr">
        <is>
          <t>B: elective (direct) pay share of 45Q</t>
        </is>
      </c>
      <c r="C29" s="6" t="n">
        <v>1</v>
      </c>
      <c r="D29" t="inlineStr">
        <is>
          <t>of credit</t>
        </is>
      </c>
      <c r="E29" s="2" t="inlineStr">
        <is>
          <t>tax-exempt sponsor monetizes via IRC 6417</t>
        </is>
      </c>
    </row>
    <row r="30">
      <c r="A30" s="5" t="inlineStr">
        <is>
          <t>gw_prin</t>
        </is>
      </c>
      <c r="B30" t="inlineStr">
        <is>
          <t>GW: Principal (Boudreau) hourly rate</t>
        </is>
      </c>
      <c r="C30" s="8" t="n">
        <v>185</v>
      </c>
      <c r="D30" t="inlineStr">
        <is>
          <t>$/hr</t>
        </is>
      </c>
      <c r="E30" s="2" t="inlineStr">
        <is>
          <t>governance/systems; MPA/MCPPO</t>
        </is>
      </c>
    </row>
    <row r="31">
      <c r="A31" s="5" t="inlineStr">
        <is>
          <t>gw_anal</t>
        </is>
      </c>
      <c r="B31" t="inlineStr">
        <is>
          <t>GW: Analyst hourly rate</t>
        </is>
      </c>
      <c r="C31" s="8" t="n">
        <v>110</v>
      </c>
      <c r="D31" t="inlineStr">
        <is>
          <t>$/hr</t>
        </is>
      </c>
      <c r="E31" s="2" t="inlineStr">
        <is>
          <t>grant analyst / budget build</t>
        </is>
      </c>
    </row>
    <row r="32">
      <c r="A32" s="5" t="inlineStr">
        <is>
          <t>gw_sme</t>
        </is>
      </c>
      <c r="B32" t="inlineStr">
        <is>
          <t>GW: Behavioral/org SME (Rothschild) rate</t>
        </is>
      </c>
      <c r="C32" s="8" t="n">
        <v>165</v>
      </c>
      <c r="D32" t="inlineStr">
        <is>
          <t>$/hr</t>
        </is>
      </c>
      <c r="E32" s="2" t="inlineStr">
        <is>
          <t>sustainability/behavioral-systems narrative</t>
        </is>
      </c>
    </row>
    <row r="33">
      <c r="A33" s="5" t="inlineStr">
        <is>
          <t>gw_fixed</t>
        </is>
      </c>
      <c r="B33" t="inlineStr">
        <is>
          <t>GW: agreed fixed fee, writing block (non-contingent)</t>
        </is>
      </c>
      <c r="C33" s="7" t="n">
        <v>12500</v>
      </c>
      <c r="D33" t="inlineStr">
        <is>
          <t>$</t>
        </is>
      </c>
      <c r="E33" s="2" t="inlineStr">
        <is>
          <t>fixed-fee, owed regardless of award (2 CFR 200.459 bars contingent fees)</t>
        </is>
      </c>
    </row>
    <row r="34">
      <c r="A34" s="5" t="inlineStr">
        <is>
          <t>gw_winprob</t>
        </is>
      </c>
      <c r="B34" t="inlineStr">
        <is>
          <t>GW: client's expected win probability</t>
        </is>
      </c>
      <c r="C34" s="6" t="n">
        <v>0.45</v>
      </c>
      <c r="D34" t="inlineStr">
        <is>
          <t>prob</t>
        </is>
      </c>
      <c r="E34" s="2" t="inlineStr">
        <is>
          <t>planning assumption only; fee is NOT contingent on it</t>
        </is>
      </c>
    </row>
    <row r="35">
      <c r="A35" s="5" t="inlineStr">
        <is>
          <t>gw_award</t>
        </is>
      </c>
      <c r="B35" t="inlineStr">
        <is>
          <t>GW: target award size (if won)</t>
        </is>
      </c>
      <c r="C35" s="7" t="n">
        <v>750000</v>
      </c>
      <c r="D35" t="inlineStr">
        <is>
          <t>$</t>
        </is>
      </c>
      <c r="E35" s="2" t="inlineStr">
        <is>
          <t>illustrative federal capital award being pursued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Example A -- Small/Rural MA Town: full cycle on a braided multi-year stack</t>
        </is>
      </c>
    </row>
    <row r="2">
      <c r="A2" s="2" t="inlineStr">
        <is>
          <t>Cycle stage -&gt; source -&gt; cost-treatment route -&gt; dollars by year. Totals are live formulas. Flywheel: the cheap Map produces the diagnosis AND the grant narrative; the narrative opens the capital that funds the Build; the Build budget carries the stewardship cost forward.</t>
        </is>
      </c>
    </row>
    <row r="4">
      <c r="A4" s="4" t="inlineStr">
        <is>
          <t>Cycle stage</t>
        </is>
      </c>
      <c r="B4" s="4" t="inlineStr">
        <is>
          <t>Funding source (layer)</t>
        </is>
      </c>
      <c r="C4" s="4" t="inlineStr">
        <is>
          <t>Cost route</t>
        </is>
      </c>
      <c r="D4" s="4" t="inlineStr">
        <is>
          <t>Y1</t>
        </is>
      </c>
      <c r="E4" s="4" t="inlineStr">
        <is>
          <t>Y2</t>
        </is>
      </c>
      <c r="F4" s="4" t="inlineStr">
        <is>
          <t>Y3</t>
        </is>
      </c>
      <c r="G4" s="4" t="inlineStr">
        <is>
          <t>Y4</t>
        </is>
      </c>
      <c r="H4" s="4" t="inlineStr">
        <is>
          <t>Y5</t>
        </is>
      </c>
      <c r="I4" s="4" t="inlineStr">
        <is>
          <t>Y6</t>
        </is>
      </c>
      <c r="J4" s="4" t="inlineStr">
        <is>
          <t>Y7</t>
        </is>
      </c>
      <c r="K4" s="4" t="inlineStr">
        <is>
          <t>Row total</t>
        </is>
      </c>
    </row>
    <row r="5">
      <c r="A5" t="inlineStr">
        <is>
          <t>Discover</t>
        </is>
      </c>
      <c r="B5" s="9" t="inlineStr">
        <is>
          <t>MA Community Compact IT grant [state bedrock]</t>
        </is>
      </c>
      <c r="C5" s="10" t="inlineStr">
        <is>
          <t>SOFT</t>
        </is>
      </c>
      <c r="D5" s="11">
        <f>Inputs!$C$13</f>
        <v/>
      </c>
      <c r="E5" s="11" t="n"/>
      <c r="F5" s="11" t="n"/>
      <c r="G5" s="11" t="n"/>
      <c r="H5" s="11" t="n"/>
      <c r="I5" s="11" t="n"/>
      <c r="J5" s="11" t="n"/>
      <c r="K5" s="12">
        <f>SUM(D5:J5)</f>
        <v/>
      </c>
    </row>
    <row r="6">
      <c r="A6" t="inlineStr">
        <is>
          <t>Discover</t>
        </is>
      </c>
      <c r="B6" s="9" t="inlineStr">
        <is>
          <t xml:space="preserve">  ^ PublicLogic Stewardship Map (soft cost in the grant)</t>
        </is>
      </c>
      <c r="C6" s="10" t="inlineStr">
        <is>
          <t>SOFT</t>
        </is>
      </c>
      <c r="D6" s="11">
        <f>-Inputs!$C$6</f>
        <v/>
      </c>
      <c r="E6" s="11" t="n"/>
      <c r="F6" s="11" t="n"/>
      <c r="G6" s="11" t="n"/>
      <c r="H6" s="11" t="n"/>
      <c r="I6" s="11" t="n"/>
      <c r="J6" s="11" t="n"/>
      <c r="K6" s="12">
        <f>SUM(D6:J6)</f>
        <v/>
      </c>
    </row>
    <row r="7">
      <c r="A7" t="inlineStr">
        <is>
          <t>Honor/Understand</t>
        </is>
      </c>
      <c r="B7" s="9" t="inlineStr">
        <is>
          <t>MA Community Planning Grant [state bedrock]</t>
        </is>
      </c>
      <c r="C7" s="10" t="inlineStr">
        <is>
          <t>SOFT</t>
        </is>
      </c>
      <c r="D7" s="11" t="n"/>
      <c r="E7" s="11">
        <f>Inputs!$C$14</f>
        <v/>
      </c>
      <c r="F7" s="11" t="n"/>
      <c r="G7" s="11" t="n"/>
      <c r="H7" s="11" t="n"/>
      <c r="I7" s="11" t="n"/>
      <c r="J7" s="11" t="n"/>
      <c r="K7" s="12">
        <f>SUM(D7:J7)</f>
        <v/>
      </c>
    </row>
    <row r="8">
      <c r="A8" t="inlineStr">
        <is>
          <t>Honor/Understand</t>
        </is>
      </c>
      <c r="B8" s="9" t="inlineStr">
        <is>
          <t xml:space="preserve">  ^ PublicLogic narrative/Understand (soft cost)</t>
        </is>
      </c>
      <c r="C8" s="10" t="inlineStr">
        <is>
          <t>SOFT</t>
        </is>
      </c>
      <c r="D8" s="11" t="n"/>
      <c r="E8" s="11">
        <f>-Inputs!$C$7*(1+Inputs!$C$5)^1</f>
        <v/>
      </c>
      <c r="F8" s="11" t="n"/>
      <c r="G8" s="11" t="n"/>
      <c r="H8" s="11" t="n"/>
      <c r="I8" s="11" t="n"/>
      <c r="J8" s="11" t="n"/>
      <c r="K8" s="12">
        <f>SUM(D8:J8)</f>
        <v/>
      </c>
    </row>
    <row r="9">
      <c r="A9" t="inlineStr">
        <is>
          <t>Improve/Build</t>
        </is>
      </c>
      <c r="B9" s="9" t="inlineStr">
        <is>
          <t>MassWorks capital [state bedrock]</t>
        </is>
      </c>
      <c r="C9" s="10" t="inlineStr">
        <is>
          <t>SOFT</t>
        </is>
      </c>
      <c r="D9" s="11" t="n"/>
      <c r="E9" s="11" t="n"/>
      <c r="F9" s="11">
        <f>Inputs!$C$15</f>
        <v/>
      </c>
      <c r="G9" s="11" t="n"/>
      <c r="H9" s="11" t="n"/>
      <c r="I9" s="11" t="n"/>
      <c r="J9" s="11" t="n"/>
      <c r="K9" s="12">
        <f>SUM(D9:J9)</f>
        <v/>
      </c>
    </row>
    <row r="10">
      <c r="A10" t="inlineStr">
        <is>
          <t>Improve/Build</t>
        </is>
      </c>
      <c r="B10" s="9" t="inlineStr">
        <is>
          <t>CWSRF loan, net of principal forgiveness [federal bedrock]</t>
        </is>
      </c>
      <c r="C10" s="10" t="inlineStr">
        <is>
          <t>SOFT</t>
        </is>
      </c>
      <c r="D10" s="11" t="n"/>
      <c r="E10" s="11" t="n"/>
      <c r="F10" s="11">
        <f>Inputs!$C$16*(1-Inputs!$C$17)</f>
        <v/>
      </c>
      <c r="G10" s="11" t="n"/>
      <c r="H10" s="11" t="n"/>
      <c r="I10" s="11" t="n"/>
      <c r="J10" s="11" t="n"/>
      <c r="K10" s="12">
        <f>SUM(D10:J10)</f>
        <v/>
      </c>
    </row>
    <row r="11">
      <c r="A11" t="inlineStr">
        <is>
          <t>Improve/Build</t>
        </is>
      </c>
      <c r="B11" s="9" t="inlineStr">
        <is>
          <t xml:space="preserve">  ^ PublicLogic compliance-infra (soft cost on capital)</t>
        </is>
      </c>
      <c r="C11" s="10" t="inlineStr">
        <is>
          <t>COMPLIANCE</t>
        </is>
      </c>
      <c r="D11" s="11" t="n"/>
      <c r="E11" s="11" t="n"/>
      <c r="F11" s="11">
        <f>-(Inputs!$C$15+Inputs!$C$16)*Inputs!$C$8</f>
        <v/>
      </c>
      <c r="G11" s="11" t="n"/>
      <c r="H11" s="11" t="n"/>
      <c r="I11" s="11" t="n"/>
      <c r="J11" s="11" t="n"/>
      <c r="K11" s="12">
        <f>SUM(D11:J11)</f>
        <v/>
      </c>
    </row>
    <row r="12">
      <c r="A12" t="inlineStr">
        <is>
          <t>Steward</t>
        </is>
      </c>
      <c r="B12" s="9" t="inlineStr">
        <is>
          <t>ARPA SLFRF remaining (expend by 12/31/2026) [closing]</t>
        </is>
      </c>
      <c r="C12" s="10" t="inlineStr">
        <is>
          <t>ADMIN</t>
        </is>
      </c>
      <c r="D12" s="11">
        <f>Inputs!$C$18/2</f>
        <v/>
      </c>
      <c r="E12" s="11">
        <f>Inputs!$C$18/2</f>
        <v/>
      </c>
      <c r="F12" s="11" t="n"/>
      <c r="G12" s="11" t="n"/>
      <c r="H12" s="11" t="n"/>
      <c r="I12" s="11" t="n"/>
      <c r="J12" s="11" t="n"/>
      <c r="K12" s="12">
        <f>SUM(D12:J12)</f>
        <v/>
      </c>
    </row>
    <row r="13">
      <c r="A13" t="inlineStr">
        <is>
          <t>Steward/Continue</t>
        </is>
      </c>
      <c r="B13" s="9" t="inlineStr">
        <is>
          <t>Own-source stewardship retainer [own-source bedrock]</t>
        </is>
      </c>
      <c r="C13" s="10" t="inlineStr">
        <is>
          <t>ADMIN</t>
        </is>
      </c>
      <c r="D13" s="11" t="n"/>
      <c r="E13" s="11" t="n"/>
      <c r="F13" s="11" t="n"/>
      <c r="G13" s="11">
        <f>-Inputs!$C$9*(1+Inputs!$C$5)^3</f>
        <v/>
      </c>
      <c r="H13" s="11">
        <f>-Inputs!$C$9*(1+Inputs!$C$5)^4</f>
        <v/>
      </c>
      <c r="I13" s="11">
        <f>-Inputs!$C$9*(1+Inputs!$C$5)^5</f>
        <v/>
      </c>
      <c r="J13" s="11">
        <f>-Inputs!$C$9*(1+Inputs!$C$5)^6</f>
        <v/>
      </c>
      <c r="K13" s="12">
        <f>SUM(D13:J13)</f>
        <v/>
      </c>
    </row>
    <row r="14">
      <c r="A14" s="3" t="inlineStr">
        <is>
          <t>NET inflow to town (all layers)</t>
        </is>
      </c>
      <c r="D14" s="13">
        <f>SUM(D5:D13)</f>
        <v/>
      </c>
      <c r="E14" s="13">
        <f>SUM(E5:E13)</f>
        <v/>
      </c>
      <c r="F14" s="13">
        <f>SUM(F5:F13)</f>
        <v/>
      </c>
      <c r="G14" s="13">
        <f>SUM(G5:G13)</f>
        <v/>
      </c>
      <c r="H14" s="13">
        <f>SUM(H5:H13)</f>
        <v/>
      </c>
      <c r="I14" s="13">
        <f>SUM(I5:I13)</f>
        <v/>
      </c>
      <c r="J14" s="13">
        <f>SUM(J5:J13)</f>
        <v/>
      </c>
      <c r="K14" s="13">
        <f>SUM(D14:J14)</f>
        <v/>
      </c>
    </row>
    <row r="15">
      <c r="A15" s="3" t="inlineStr">
        <is>
          <t>CUMULATIVE position</t>
        </is>
      </c>
      <c r="D15" s="14">
        <f>D14</f>
        <v/>
      </c>
      <c r="E15" s="14">
        <f>D15+E14</f>
        <v/>
      </c>
      <c r="F15" s="14">
        <f>E15+F14</f>
        <v/>
      </c>
      <c r="G15" s="14">
        <f>F15+G14</f>
        <v/>
      </c>
      <c r="H15" s="14">
        <f>G15+H14</f>
        <v/>
      </c>
      <c r="I15" s="14">
        <f>H15+I14</f>
        <v/>
      </c>
      <c r="J15" s="14">
        <f>I15+J14</f>
        <v/>
      </c>
    </row>
    <row r="17">
      <c r="A17" s="3" t="inlineStr">
        <is>
          <t>PublicLogic revenue from this client (Example A)</t>
        </is>
      </c>
    </row>
    <row r="18">
      <c r="B18" s="9" t="inlineStr">
        <is>
          <t>Map (Discover)</t>
        </is>
      </c>
      <c r="D18" s="15">
        <f>Inputs!$C$6</f>
        <v/>
      </c>
      <c r="E18" s="15" t="n"/>
      <c r="F18" s="15" t="n"/>
      <c r="G18" s="15" t="n"/>
      <c r="H18" s="15" t="n"/>
      <c r="I18" s="15" t="n"/>
      <c r="J18" s="15" t="n"/>
      <c r="K18" s="12">
        <f>SUM(D18:J18)</f>
        <v/>
      </c>
    </row>
    <row r="19">
      <c r="B19" s="9" t="inlineStr">
        <is>
          <t>Narrative (Understand)</t>
        </is>
      </c>
      <c r="D19" s="15" t="n"/>
      <c r="E19" s="15">
        <f>Inputs!$C$7*(1+Inputs!$C$5)^1</f>
        <v/>
      </c>
      <c r="F19" s="15" t="n"/>
      <c r="G19" s="15" t="n"/>
      <c r="H19" s="15" t="n"/>
      <c r="I19" s="15" t="n"/>
      <c r="J19" s="15" t="n"/>
      <c r="K19" s="12">
        <f>SUM(D19:J19)</f>
        <v/>
      </c>
    </row>
    <row r="20">
      <c r="B20" s="9" t="inlineStr">
        <is>
          <t>Compliance-infra on capital (Build)</t>
        </is>
      </c>
      <c r="D20" s="15" t="n"/>
      <c r="E20" s="15" t="n"/>
      <c r="F20" s="15">
        <f>(Inputs!$C$15+Inputs!$C$16)*Inputs!$C$8</f>
        <v/>
      </c>
      <c r="G20" s="15" t="n"/>
      <c r="H20" s="15" t="n"/>
      <c r="I20" s="15" t="n"/>
      <c r="J20" s="15" t="n"/>
      <c r="K20" s="12">
        <f>SUM(D20:J20)</f>
        <v/>
      </c>
    </row>
    <row r="21">
      <c r="B21" s="9" t="inlineStr">
        <is>
          <t>Retainer (Steward/Continue)</t>
        </is>
      </c>
      <c r="D21" s="15" t="n"/>
      <c r="E21" s="15" t="n"/>
      <c r="F21" s="15" t="n"/>
      <c r="G21" s="15">
        <f>Inputs!$C$9*(1+Inputs!$C$5)^3</f>
        <v/>
      </c>
      <c r="H21" s="15">
        <f>Inputs!$C$9*(1+Inputs!$C$5)^4</f>
        <v/>
      </c>
      <c r="I21" s="15">
        <f>Inputs!$C$9*(1+Inputs!$C$5)^5</f>
        <v/>
      </c>
      <c r="J21" s="15">
        <f>Inputs!$C$9*(1+Inputs!$C$5)^6</f>
        <v/>
      </c>
      <c r="K21" s="12">
        <f>SUM(D21:J21)</f>
        <v/>
      </c>
    </row>
    <row r="22">
      <c r="B22" s="3" t="inlineStr">
        <is>
          <t>PublicLogic TOTAL (Example A)</t>
        </is>
      </c>
      <c r="D22" s="13">
        <f>SUM(D18:D21)</f>
        <v/>
      </c>
      <c r="E22" s="13">
        <f>SUM(E18:E21)</f>
        <v/>
      </c>
      <c r="F22" s="13">
        <f>SUM(F18:F21)</f>
        <v/>
      </c>
      <c r="G22" s="13">
        <f>SUM(G18:G21)</f>
        <v/>
      </c>
      <c r="H22" s="13">
        <f>SUM(H18:H21)</f>
        <v/>
      </c>
      <c r="I22" s="13">
        <f>SUM(I18:I21)</f>
        <v/>
      </c>
      <c r="J22" s="13">
        <f>SUM(J18:J21)</f>
        <v/>
      </c>
      <c r="K22" s="13">
        <f>SUM(D22:J22)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Example B -- Capital/Environmental deal: NMTC + Section 45Q + SRF/Brownfields, with compliance tail</t>
        </is>
      </c>
    </row>
    <row r="2">
      <c r="A2" s="2" t="inlineStr">
        <is>
          <t>Brownfield redevelopment with a carbon-capture component, sponsored by a tax-exempt entity. Tax credits are treated as federal funding. Compliance tail = 7-yr NMTC + 12-yr 45Q -&gt; recurring stewardship.</t>
        </is>
      </c>
    </row>
    <row r="4">
      <c r="A4" s="4" t="inlineStr">
        <is>
          <t>Component</t>
        </is>
      </c>
      <c r="B4" s="4" t="inlineStr">
        <is>
          <t>Mechanism (layer)</t>
        </is>
      </c>
      <c r="C4" s="4" t="inlineStr">
        <is>
          <t>Cost route</t>
        </is>
      </c>
      <c r="D4" s="4" t="inlineStr">
        <is>
          <t>Y1</t>
        </is>
      </c>
      <c r="E4" s="4" t="inlineStr">
        <is>
          <t>Y2</t>
        </is>
      </c>
      <c r="F4" s="4" t="inlineStr">
        <is>
          <t>Y3</t>
        </is>
      </c>
      <c r="G4" s="4" t="inlineStr">
        <is>
          <t>Y4</t>
        </is>
      </c>
      <c r="H4" s="4" t="inlineStr">
        <is>
          <t>Y5</t>
        </is>
      </c>
      <c r="I4" s="4" t="inlineStr">
        <is>
          <t>Y6</t>
        </is>
      </c>
      <c r="J4" s="4" t="inlineStr">
        <is>
          <t>Y7</t>
        </is>
      </c>
      <c r="K4" s="4" t="inlineStr">
        <is>
          <t>Y8</t>
        </is>
      </c>
      <c r="L4" s="4" t="inlineStr">
        <is>
          <t>Row total</t>
        </is>
      </c>
    </row>
    <row r="5">
      <c r="A5" t="inlineStr">
        <is>
          <t>Site cleanup</t>
        </is>
      </c>
      <c r="B5" s="9" t="inlineStr">
        <is>
          <t>EPA Brownfields cleanup grant [federal competitive]</t>
        </is>
      </c>
      <c r="C5" s="10" t="inlineStr">
        <is>
          <t>SOFT</t>
        </is>
      </c>
      <c r="D5" s="11">
        <f>Inputs!$C$23</f>
        <v/>
      </c>
      <c r="E5" s="11" t="n"/>
      <c r="F5" s="11" t="n"/>
      <c r="G5" s="11" t="n"/>
      <c r="H5" s="11" t="n"/>
      <c r="I5" s="11" t="n"/>
      <c r="J5" s="11" t="n"/>
      <c r="K5" s="11" t="n"/>
      <c r="L5" s="12">
        <f>SUM(D5:K5)</f>
        <v/>
      </c>
    </row>
    <row r="6">
      <c r="A6" t="inlineStr">
        <is>
          <t>Site cleanup</t>
        </is>
      </c>
      <c r="B6" s="9" t="inlineStr">
        <is>
          <t xml:space="preserve">  ^ non-federal cost share (own-source)</t>
        </is>
      </c>
      <c r="C6" s="10" t="inlineStr">
        <is>
          <t>SOFT</t>
        </is>
      </c>
      <c r="D6" s="11">
        <f>-Inputs!$C$23*Inputs!$C$24</f>
        <v/>
      </c>
      <c r="E6" s="11" t="n"/>
      <c r="F6" s="11" t="n"/>
      <c r="G6" s="11" t="n"/>
      <c r="H6" s="11" t="n"/>
      <c r="I6" s="11" t="n"/>
      <c r="J6" s="11" t="n"/>
      <c r="K6" s="11" t="n"/>
      <c r="L6" s="12">
        <f>SUM(D6:K6)</f>
        <v/>
      </c>
    </row>
    <row r="7">
      <c r="A7" t="inlineStr">
        <is>
          <t>Water remediation</t>
        </is>
      </c>
      <c r="B7" s="9" t="inlineStr">
        <is>
          <t>CWSRF loan (contaminated-site water quality) [federal bedrock]</t>
        </is>
      </c>
      <c r="C7" s="10" t="inlineStr">
        <is>
          <t>SOFT</t>
        </is>
      </c>
      <c r="D7" s="11" t="n"/>
      <c r="E7" s="11">
        <f>Inputs!$C$25</f>
        <v/>
      </c>
      <c r="F7" s="11" t="n"/>
      <c r="G7" s="11" t="n"/>
      <c r="H7" s="11" t="n"/>
      <c r="I7" s="11" t="n"/>
      <c r="J7" s="11" t="n"/>
      <c r="K7" s="11" t="n"/>
      <c r="L7" s="12">
        <f>SUM(D7:K7)</f>
        <v/>
      </c>
    </row>
    <row r="8">
      <c r="A8" t="inlineStr">
        <is>
          <t>Capital stack</t>
        </is>
      </c>
      <c r="B8" s="9" t="inlineStr">
        <is>
          <t>NMTC net subsidy to project [federal bedrock - permanent]</t>
        </is>
      </c>
      <c r="C8" s="10" t="inlineStr">
        <is>
          <t>COMPLIANCE</t>
        </is>
      </c>
      <c r="D8" s="11" t="n"/>
      <c r="E8" s="11">
        <f>Inputs!$C$20*Inputs!$C$22</f>
        <v/>
      </c>
      <c r="F8" s="11" t="n"/>
      <c r="G8" s="11" t="n"/>
      <c r="H8" s="11" t="n"/>
      <c r="I8" s="11" t="n"/>
      <c r="J8" s="11" t="n"/>
      <c r="K8" s="11" t="n"/>
      <c r="L8" s="12">
        <f>SUM(D8:K8)</f>
        <v/>
      </c>
    </row>
    <row r="9">
      <c r="A9" t="inlineStr">
        <is>
          <t>Clean energy</t>
        </is>
      </c>
      <c r="B9" s="9" t="inlineStr">
        <is>
          <t>Section 45Q via elective pay (annual, 12-yr) [statutory bedrock]</t>
        </is>
      </c>
      <c r="C9" s="10" t="inlineStr">
        <is>
          <t>COMPLIANCE</t>
        </is>
      </c>
      <c r="D9" s="11">
        <f>IF(AND(1&gt;=2,1&lt;2+Inputs!$C$28),Inputs!$C$26*Inputs!$C$27*Inputs!$C$29,0)</f>
        <v/>
      </c>
      <c r="E9" s="11">
        <f>IF(AND(2&gt;=2,2&lt;2+Inputs!$C$28),Inputs!$C$26*Inputs!$C$27*Inputs!$C$29,0)</f>
        <v/>
      </c>
      <c r="F9" s="11">
        <f>IF(AND(3&gt;=2,3&lt;2+Inputs!$C$28),Inputs!$C$26*Inputs!$C$27*Inputs!$C$29,0)</f>
        <v/>
      </c>
      <c r="G9" s="11">
        <f>IF(AND(4&gt;=2,4&lt;2+Inputs!$C$28),Inputs!$C$26*Inputs!$C$27*Inputs!$C$29,0)</f>
        <v/>
      </c>
      <c r="H9" s="11">
        <f>IF(AND(5&gt;=2,5&lt;2+Inputs!$C$28),Inputs!$C$26*Inputs!$C$27*Inputs!$C$29,0)</f>
        <v/>
      </c>
      <c r="I9" s="11">
        <f>IF(AND(6&gt;=2,6&lt;2+Inputs!$C$28),Inputs!$C$26*Inputs!$C$27*Inputs!$C$29,0)</f>
        <v/>
      </c>
      <c r="J9" s="11">
        <f>IF(AND(7&gt;=2,7&lt;2+Inputs!$C$28),Inputs!$C$26*Inputs!$C$27*Inputs!$C$29,0)</f>
        <v/>
      </c>
      <c r="K9" s="11">
        <f>IF(AND(8&gt;=2,8&lt;2+Inputs!$C$28),Inputs!$C$26*Inputs!$C$27*Inputs!$C$29,0)</f>
        <v/>
      </c>
      <c r="L9" s="12">
        <f>SUM(D9:K9)</f>
        <v/>
      </c>
    </row>
    <row r="10">
      <c r="A10" t="inlineStr">
        <is>
          <t>PublicLogic</t>
        </is>
      </c>
      <c r="B10" s="9" t="inlineStr">
        <is>
          <t xml:space="preserve">  ^ compliance-infra at financial close (Build)</t>
        </is>
      </c>
      <c r="C10" s="10" t="inlineStr">
        <is>
          <t>COMPLIANCE</t>
        </is>
      </c>
      <c r="D10" s="11" t="n"/>
      <c r="E10" s="11">
        <f>-(Inputs!$C$20+Inputs!$C$25)*Inputs!$C$8</f>
        <v/>
      </c>
      <c r="F10" s="11" t="n"/>
      <c r="G10" s="11" t="n"/>
      <c r="H10" s="11" t="n"/>
      <c r="I10" s="11" t="n"/>
      <c r="J10" s="11" t="n"/>
      <c r="K10" s="11" t="n"/>
      <c r="L10" s="12">
        <f>SUM(D10:K10)</f>
        <v/>
      </c>
    </row>
    <row r="11">
      <c r="A11" t="inlineStr">
        <is>
          <t>PublicLogic</t>
        </is>
      </c>
      <c r="B11" s="9" t="inlineStr">
        <is>
          <t xml:space="preserve">  ^ NMTC 7-yr compliance tail (CDE reporting)</t>
        </is>
      </c>
      <c r="C11" s="10" t="inlineStr">
        <is>
          <t>COMPLIANCE</t>
        </is>
      </c>
      <c r="D11" s="11" t="n"/>
      <c r="E11" s="11">
        <f>-Inputs!$C$9*(1+Inputs!$C$5)^1</f>
        <v/>
      </c>
      <c r="F11" s="11">
        <f>-Inputs!$C$9*(1+Inputs!$C$5)^2</f>
        <v/>
      </c>
      <c r="G11" s="11">
        <f>-Inputs!$C$9*(1+Inputs!$C$5)^3</f>
        <v/>
      </c>
      <c r="H11" s="11">
        <f>-Inputs!$C$9*(1+Inputs!$C$5)^4</f>
        <v/>
      </c>
      <c r="I11" s="11">
        <f>-Inputs!$C$9*(1+Inputs!$C$5)^5</f>
        <v/>
      </c>
      <c r="J11" s="11">
        <f>-Inputs!$C$9*(1+Inputs!$C$5)^6</f>
        <v/>
      </c>
      <c r="K11" s="11">
        <f>-Inputs!$C$9*(1+Inputs!$C$5)^7</f>
        <v/>
      </c>
      <c r="L11" s="12">
        <f>SUM(D11:K11)</f>
        <v/>
      </c>
    </row>
    <row r="12">
      <c r="A12" s="3" t="inlineStr">
        <is>
          <t>NET to deal / sponsor</t>
        </is>
      </c>
      <c r="D12" s="13">
        <f>SUM(D5:D11)</f>
        <v/>
      </c>
      <c r="E12" s="13">
        <f>SUM(E5:E11)</f>
        <v/>
      </c>
      <c r="F12" s="13">
        <f>SUM(F5:F11)</f>
        <v/>
      </c>
      <c r="G12" s="13">
        <f>SUM(G5:G11)</f>
        <v/>
      </c>
      <c r="H12" s="13">
        <f>SUM(H5:H11)</f>
        <v/>
      </c>
      <c r="I12" s="13">
        <f>SUM(I5:I11)</f>
        <v/>
      </c>
      <c r="J12" s="13">
        <f>SUM(J5:J11)</f>
        <v/>
      </c>
      <c r="K12" s="13">
        <f>SUM(K5:K11)</f>
        <v/>
      </c>
      <c r="L12" s="13">
        <f>SUM(D12:K12)</f>
        <v/>
      </c>
    </row>
    <row r="13">
      <c r="A13" s="3" t="inlineStr">
        <is>
          <t>CUMULATIVE position</t>
        </is>
      </c>
      <c r="D13" s="14">
        <f>D12</f>
        <v/>
      </c>
      <c r="E13" s="14">
        <f>D13+E12</f>
        <v/>
      </c>
      <c r="F13" s="14">
        <f>E13+F12</f>
        <v/>
      </c>
      <c r="G13" s="14">
        <f>F13+G12</f>
        <v/>
      </c>
      <c r="H13" s="14">
        <f>G13+H12</f>
        <v/>
      </c>
      <c r="I13" s="14">
        <f>H13+I12</f>
        <v/>
      </c>
      <c r="J13" s="14">
        <f>I13+J12</f>
        <v/>
      </c>
      <c r="K13" s="14">
        <f>J13+K12</f>
        <v/>
      </c>
    </row>
    <row r="15">
      <c r="A15" s="3" t="inlineStr">
        <is>
          <t>PublicLogic revenue from this deal (Example B)</t>
        </is>
      </c>
    </row>
    <row r="16">
      <c r="B16" s="9" t="inlineStr">
        <is>
          <t>Compliance-infra at close</t>
        </is>
      </c>
      <c r="D16" s="15" t="n"/>
      <c r="E16" s="15">
        <f>(Inputs!$C$20+Inputs!$C$25)*Inputs!$C$8</f>
        <v/>
      </c>
      <c r="F16" s="15" t="n"/>
      <c r="G16" s="15" t="n"/>
      <c r="H16" s="15" t="n"/>
      <c r="I16" s="15" t="n"/>
      <c r="J16" s="15" t="n"/>
      <c r="K16" s="15" t="n"/>
      <c r="L16" s="12">
        <f>SUM(D16:K16)</f>
        <v/>
      </c>
    </row>
    <row r="17">
      <c r="B17" s="9" t="inlineStr">
        <is>
          <t>NMTC 7-yr compliance tail</t>
        </is>
      </c>
      <c r="D17" s="15" t="n"/>
      <c r="E17" s="15">
        <f>Inputs!$C$9*(1+Inputs!$C$5)^1</f>
        <v/>
      </c>
      <c r="F17" s="15">
        <f>Inputs!$C$9*(1+Inputs!$C$5)^2</f>
        <v/>
      </c>
      <c r="G17" s="15">
        <f>Inputs!$C$9*(1+Inputs!$C$5)^3</f>
        <v/>
      </c>
      <c r="H17" s="15">
        <f>Inputs!$C$9*(1+Inputs!$C$5)^4</f>
        <v/>
      </c>
      <c r="I17" s="15">
        <f>Inputs!$C$9*(1+Inputs!$C$5)^5</f>
        <v/>
      </c>
      <c r="J17" s="15">
        <f>Inputs!$C$9*(1+Inputs!$C$5)^6</f>
        <v/>
      </c>
      <c r="K17" s="15">
        <f>Inputs!$C$9*(1+Inputs!$C$5)^7</f>
        <v/>
      </c>
      <c r="L17" s="12">
        <f>SUM(D17:K17)</f>
        <v/>
      </c>
    </row>
    <row r="18">
      <c r="B18" s="3" t="inlineStr">
        <is>
          <t>PublicLogic TOTAL (Example B)</t>
        </is>
      </c>
      <c r="D18" s="13">
        <f>SUM(D16:D17)</f>
        <v/>
      </c>
      <c r="E18" s="13">
        <f>SUM(E16:E17)</f>
        <v/>
      </c>
      <c r="F18" s="13">
        <f>SUM(F16:F17)</f>
        <v/>
      </c>
      <c r="G18" s="13">
        <f>SUM(G16:G17)</f>
        <v/>
      </c>
      <c r="H18" s="13">
        <f>SUM(H16:H17)</f>
        <v/>
      </c>
      <c r="I18" s="13">
        <f>SUM(I16:I17)</f>
        <v/>
      </c>
      <c r="J18" s="13">
        <f>SUM(J16:J17)</f>
        <v/>
      </c>
      <c r="K18" s="13">
        <f>SUM(K16:K17)</f>
        <v/>
      </c>
      <c r="L18" s="13">
        <f>SUM(D18:K18)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PublicLogic revenue architecture across the stack</t>
        </is>
      </c>
    </row>
    <row r="2">
      <c r="A2" s="2" t="inlineStr">
        <is>
          <t>Maps the fixed-fee / retainer / compliance-tail structure to allowable cost lines (2 CFR 200.459) and shows the indirect-rate implication. Pulls live totals from the two example sheets.</t>
        </is>
      </c>
    </row>
    <row r="4">
      <c r="A4" s="4" t="inlineStr">
        <is>
          <t>Revenue line</t>
        </is>
      </c>
      <c r="B4" s="4" t="inlineStr">
        <is>
          <t>Cost-treatment route</t>
        </is>
      </c>
      <c r="C4" s="4" t="inlineStr">
        <is>
          <t>Allowability basis</t>
        </is>
      </c>
      <c r="D4" s="4" t="inlineStr">
        <is>
          <t>Recurring?</t>
        </is>
      </c>
      <c r="E4" s="4" t="inlineStr">
        <is>
          <t>Amount</t>
        </is>
      </c>
    </row>
    <row r="5">
      <c r="A5" s="9" t="inlineStr">
        <is>
          <t>Stewardship Map (entry)</t>
        </is>
      </c>
      <c r="B5" t="inlineStr">
        <is>
          <t>SOFT</t>
        </is>
      </c>
      <c r="C5" s="9" t="inlineStr">
        <is>
          <t>Prof. service soft cost; 2 CFR 200.459</t>
        </is>
      </c>
      <c r="D5" t="inlineStr">
        <is>
          <t>No (per turn)</t>
        </is>
      </c>
      <c r="E5" s="15">
        <f>Inputs!$C$6</f>
        <v/>
      </c>
    </row>
    <row r="6">
      <c r="A6" s="9" t="inlineStr">
        <is>
          <t>Grant narrative / Understand</t>
        </is>
      </c>
      <c r="B6" t="inlineStr">
        <is>
          <t>SOFT</t>
        </is>
      </c>
      <c r="C6" s="9" t="inlineStr">
        <is>
          <t>Soft cost in planning grant; 200.459</t>
        </is>
      </c>
      <c r="D6" t="inlineStr">
        <is>
          <t>No (per turn)</t>
        </is>
      </c>
      <c r="E6" s="15">
        <f>Inputs!$C$7*(1+Inputs!$C$5)</f>
        <v/>
      </c>
    </row>
    <row r="7">
      <c r="A7" s="9" t="inlineStr">
        <is>
          <t>Compliance-infra on capital (Ex A+B)</t>
        </is>
      </c>
      <c r="B7" t="inlineStr">
        <is>
          <t>COMPLIANCE</t>
        </is>
      </c>
      <c r="C7" s="9" t="inlineStr">
        <is>
          <t>Soft cost on approved capital budget; 200.459</t>
        </is>
      </c>
      <c r="D7" t="inlineStr">
        <is>
          <t>Per project</t>
        </is>
      </c>
      <c r="E7" s="15">
        <f>(Inputs!$C$15+Inputs!$C$16+Inputs!$C$20+Inputs!$C$25)*Inputs!$C$8</f>
        <v/>
      </c>
    </row>
    <row r="8">
      <c r="A8" s="9" t="inlineStr">
        <is>
          <t>Stewardship retainer (Ex A own-source)</t>
        </is>
      </c>
      <c r="B8" t="inlineStr">
        <is>
          <t>ADMIN</t>
        </is>
      </c>
      <c r="C8" s="9" t="inlineStr">
        <is>
          <t>Own-source operating line; 200.459 once federal ends</t>
        </is>
      </c>
      <c r="D8" t="inlineStr">
        <is>
          <t>Yes (annual)</t>
        </is>
      </c>
      <c r="E8" s="15">
        <f>Inputs!$C$9</f>
        <v/>
      </c>
    </row>
    <row r="9">
      <c r="A9" s="9" t="inlineStr">
        <is>
          <t>NMTC 7-yr compliance tail (Ex B)</t>
        </is>
      </c>
      <c r="B9" t="inlineStr">
        <is>
          <t>COMPLIANCE</t>
        </is>
      </c>
      <c r="C9" s="9" t="inlineStr">
        <is>
          <t>CDE compliance-period monitoring; 200.459</t>
        </is>
      </c>
      <c r="D9" t="inlineStr">
        <is>
          <t>Yes (7 yrs)</t>
        </is>
      </c>
      <c r="E9" s="15">
        <f>Inputs!$C$9*7</f>
        <v/>
      </c>
    </row>
    <row r="10">
      <c r="D10" s="3" t="inlineStr">
        <is>
          <t>TOTAL recurring + one-time</t>
        </is>
      </c>
      <c r="E10" s="13">
        <f>SUM(E5:E9)</f>
        <v/>
      </c>
    </row>
    <row r="12">
      <c r="A12" s="3" t="inlineStr">
        <is>
          <t>INDIRECT-RATE IMPLICATIONS</t>
        </is>
      </c>
    </row>
    <row r="13">
      <c r="A13" s="2" t="inlineStr">
        <is>
          <t xml:space="preserve">  * With no negotiated rate (NICRA), PublicLogic and its subrecipients may elect the de minimis</t>
        </is>
      </c>
    </row>
    <row r="14">
      <c r="A14" s="2" t="inlineStr">
        <is>
          <t xml:space="preserve">    rate of 15% of Modified Total Direct Cost (2 CFR 200.414(f); 15% effective for awards on/after 10/1/2024).</t>
        </is>
      </c>
    </row>
    <row r="15">
      <c r="A15" s="2" t="inlineStr">
        <is>
          <t xml:space="preserve">  * Most PublicLogic fees ride as DIRECT professional-service costs (200.459), not indirect -- so the</t>
        </is>
      </c>
    </row>
    <row r="16">
      <c r="A16" s="2" t="inlineStr">
        <is>
          <t xml:space="preserve">    de minimis rate mainly affects the client's own overhead recovery, not PublicLogic's fee allowability.</t>
        </is>
      </c>
    </row>
    <row r="17">
      <c r="A17" s="2" t="inlineStr">
        <is>
          <t xml:space="preserve">  * Fees are FIXED-FEE / RETAINER and NON-CONTINGENT on award; that is what makes them allowable as a</t>
        </is>
      </c>
    </row>
    <row r="18">
      <c r="A18" s="2" t="inlineStr">
        <is>
          <t xml:space="preserve">    professional-service cost rather than a contingent fee (which 2 CFR 200.459(b) disallows).</t>
        </is>
      </c>
    </row>
    <row r="19">
      <c r="A19" s="2" t="inlineStr">
        <is>
          <t xml:space="preserve">  * SUBRECIPIENT vs CONTRACTOR (2 CFR 200.331): PublicLogic is a CONTRACTOR -- it provides goods/services</t>
        </is>
      </c>
    </row>
    <row r="20">
      <c r="A20" s="2" t="inlineStr">
        <is>
          <t xml:space="preserve">    within normal business operations to many purchasers, does not carry programmatic decision-making or</t>
        </is>
      </c>
    </row>
    <row r="21">
      <c r="A21" s="2" t="inlineStr">
        <is>
          <t xml:space="preserve">    eligibility determination, and is not subject to the federal program's compliance requirements in its</t>
        </is>
      </c>
    </row>
    <row r="22">
      <c r="A22" s="2" t="inlineStr">
        <is>
          <t xml:space="preserve">    own right. Therefore PublicLogic is procured under 200.317-327 and is NOT itself Single-Audited.</t>
        </is>
      </c>
    </row>
    <row r="23">
      <c r="A23" s="2" t="inlineStr">
        <is>
          <t xml:space="preserve">  * Single Audit is the CLIENT's obligation only if it expends &gt;= $1,000,000 in federal awards in a year (200.501).</t>
        </is>
      </c>
    </row>
    <row r="24">
      <c r="A24" s="2" t="inlineStr">
        <is>
          <t xml:space="preserve">  * Not legal/accounting advice -- allowability is subject to the funding source, approved budget, and cost principles.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8" customWidth="1" min="4" max="4"/>
    <col width="10" customWidth="1" min="5" max="5"/>
    <col width="12" customWidth="1" min="6" max="6"/>
    <col width="22" customWidth="1" min="7" max="7"/>
    <col width="50" customWidth="1" min="8" max="8"/>
  </cols>
  <sheetData>
    <row r="1">
      <c r="A1" s="1" t="inlineStr">
        <is>
          <t>Grant-writing hours -- an org working with PublicLogic (the work, shown line by line)</t>
        </is>
      </c>
    </row>
    <row r="2">
      <c r="A2" s="2" t="inlineStr">
        <is>
          <t>Hours x rate = line cost (live formulas). Funding route per line follows the cost principles: writing = proposal cost (2 CFR 200.460, indirect/own-source, non-contingent); post-award = allowable grant-admin on the won award. Not legal/accounting advice.</t>
        </is>
      </c>
    </row>
    <row r="4">
      <c r="A4" s="4" t="inlineStr">
        <is>
          <t>Phase</t>
        </is>
      </c>
      <c r="B4" s="4" t="inlineStr">
        <is>
          <t>Task (the work)</t>
        </is>
      </c>
      <c r="C4" s="4" t="inlineStr">
        <is>
          <t>Role</t>
        </is>
      </c>
      <c r="D4" s="4" t="inlineStr">
        <is>
          <t>Hours</t>
        </is>
      </c>
      <c r="E4" s="4" t="inlineStr">
        <is>
          <t>Rate $/hr</t>
        </is>
      </c>
      <c r="F4" s="4" t="inlineStr">
        <is>
          <t>Line cost</t>
        </is>
      </c>
      <c r="G4" s="4" t="inlineStr">
        <is>
          <t>Deliverable</t>
        </is>
      </c>
      <c r="H4" s="4" t="inlineStr">
        <is>
          <t>Funding route / allowability</t>
        </is>
      </c>
    </row>
    <row r="5">
      <c r="A5" s="16" t="inlineStr">
        <is>
          <t>1. Discover/eligibility</t>
        </is>
      </c>
      <c r="B5" s="17" t="inlineStr">
        <is>
          <t>Review Stewardship Map; confirm Assistance Listing eligibility</t>
        </is>
      </c>
      <c r="C5" s="16" t="inlineStr">
        <is>
          <t>Principal</t>
        </is>
      </c>
      <c r="D5" s="18" t="n">
        <v>4</v>
      </c>
      <c r="E5" s="11">
        <f>Inputs!$C$30</f>
        <v/>
      </c>
      <c r="F5" s="11">
        <f>D5*E5</f>
        <v/>
      </c>
      <c r="G5" s="17" t="inlineStr">
        <is>
          <t>Eligibility memo</t>
        </is>
      </c>
      <c r="H5" s="17" t="inlineStr">
        <is>
          <t>Proposal cost - 2 CFR 200.460: indirect/F&amp;A or org own-source; NON-FederalAward; non-contingent</t>
        </is>
      </c>
    </row>
    <row r="6">
      <c r="A6" s="16" t="inlineStr">
        <is>
          <t>1. Discover/eligibility</t>
        </is>
      </c>
      <c r="B6" s="17" t="inlineStr">
        <is>
          <t>SAM.gov / UEI registration check; portal setup</t>
        </is>
      </c>
      <c r="C6" s="16" t="inlineStr">
        <is>
          <t>Analyst</t>
        </is>
      </c>
      <c r="D6" s="18" t="n">
        <v>3</v>
      </c>
      <c r="E6" s="11">
        <f>Inputs!$C$31</f>
        <v/>
      </c>
      <c r="F6" s="11">
        <f>D6*E6</f>
        <v/>
      </c>
      <c r="G6" s="17" t="inlineStr">
        <is>
          <t>Registration confirmed</t>
        </is>
      </c>
      <c r="H6" s="17" t="inlineStr">
        <is>
          <t>Proposal cost - 2 CFR 200.460: indirect/F&amp;A or org own-source; NON-FederalAward; non-contingent</t>
        </is>
      </c>
    </row>
    <row r="7">
      <c r="A7" s="16" t="inlineStr">
        <is>
          <t>2. Narrative</t>
        </is>
      </c>
      <c r="B7" s="17" t="inlineStr">
        <is>
          <t>Need statement &amp; problem analysis</t>
        </is>
      </c>
      <c r="C7" s="16" t="inlineStr">
        <is>
          <t>Principal</t>
        </is>
      </c>
      <c r="D7" s="18" t="n">
        <v>8</v>
      </c>
      <c r="E7" s="11">
        <f>Inputs!$C$30</f>
        <v/>
      </c>
      <c r="F7" s="11">
        <f>D7*E7</f>
        <v/>
      </c>
      <c r="G7" s="17" t="inlineStr">
        <is>
          <t>Need statement</t>
        </is>
      </c>
      <c r="H7" s="17" t="inlineStr">
        <is>
          <t>Proposal cost - 2 CFR 200.460: indirect/F&amp;A or org own-source; NON-FederalAward; non-contingent</t>
        </is>
      </c>
    </row>
    <row r="8">
      <c r="A8" s="16" t="inlineStr">
        <is>
          <t>2. Narrative</t>
        </is>
      </c>
      <c r="B8" s="17" t="inlineStr">
        <is>
          <t>Project design &amp; logic model</t>
        </is>
      </c>
      <c r="C8" s="16" t="inlineStr">
        <is>
          <t>Principal</t>
        </is>
      </c>
      <c r="D8" s="18" t="n">
        <v>10</v>
      </c>
      <c r="E8" s="11">
        <f>Inputs!$C$30</f>
        <v/>
      </c>
      <c r="F8" s="11">
        <f>D8*E8</f>
        <v/>
      </c>
      <c r="G8" s="17" t="inlineStr">
        <is>
          <t>Project narrative</t>
        </is>
      </c>
      <c r="H8" s="17" t="inlineStr">
        <is>
          <t>Proposal cost - 2 CFR 200.460: indirect/F&amp;A or org own-source; NON-FederalAward; non-contingent</t>
        </is>
      </c>
    </row>
    <row r="9">
      <c r="A9" s="16" t="inlineStr">
        <is>
          <t>2. Narrative</t>
        </is>
      </c>
      <c r="B9" s="17" t="inlineStr">
        <is>
          <t>Behavioral/organizational sustainability section</t>
        </is>
      </c>
      <c r="C9" s="16" t="inlineStr">
        <is>
          <t>Behav/org SME</t>
        </is>
      </c>
      <c r="D9" s="18" t="n">
        <v>6</v>
      </c>
      <c r="E9" s="11">
        <f>Inputs!$C$32</f>
        <v/>
      </c>
      <c r="F9" s="11">
        <f>D9*E9</f>
        <v/>
      </c>
      <c r="G9" s="17" t="inlineStr">
        <is>
          <t>Sustainability narrative</t>
        </is>
      </c>
      <c r="H9" s="17" t="inlineStr">
        <is>
          <t>Proposal cost - 2 CFR 200.460: indirect/F&amp;A or org own-source; NON-FederalAward; non-contingent</t>
        </is>
      </c>
    </row>
    <row r="10">
      <c r="A10" s="16" t="inlineStr">
        <is>
          <t>3. Budget</t>
        </is>
      </c>
      <c r="B10" s="17" t="inlineStr">
        <is>
          <t>Budget build (cost principles, MTDC, 15% de minimis)</t>
        </is>
      </c>
      <c r="C10" s="16" t="inlineStr">
        <is>
          <t>Analyst</t>
        </is>
      </c>
      <c r="D10" s="18" t="n">
        <v>8</v>
      </c>
      <c r="E10" s="11">
        <f>Inputs!$C$31</f>
        <v/>
      </c>
      <c r="F10" s="11">
        <f>D10*E10</f>
        <v/>
      </c>
      <c r="G10" s="17" t="inlineStr">
        <is>
          <t>SF-424A budget</t>
        </is>
      </c>
      <c r="H10" s="17" t="inlineStr">
        <is>
          <t>Proposal cost - 2 CFR 200.460: indirect/F&amp;A or org own-source; NON-FederalAward; non-contingent</t>
        </is>
      </c>
    </row>
    <row r="11">
      <c r="A11" s="16" t="inlineStr">
        <is>
          <t>3. Budget</t>
        </is>
      </c>
      <c r="B11" s="17" t="inlineStr">
        <is>
          <t>Match/cost-share strategy &amp; budget narrative</t>
        </is>
      </c>
      <c r="C11" s="16" t="inlineStr">
        <is>
          <t>Principal</t>
        </is>
      </c>
      <c r="D11" s="18" t="n">
        <v>5</v>
      </c>
      <c r="E11" s="11">
        <f>Inputs!$C$30</f>
        <v/>
      </c>
      <c r="F11" s="11">
        <f>D11*E11</f>
        <v/>
      </c>
      <c r="G11" s="17" t="inlineStr">
        <is>
          <t>Budget narrative</t>
        </is>
      </c>
      <c r="H11" s="17" t="inlineStr">
        <is>
          <t>Proposal cost - 2 CFR 200.460: indirect/F&amp;A or org own-source; NON-FederalAward; non-contingent</t>
        </is>
      </c>
    </row>
    <row r="12">
      <c r="A12" s="16" t="inlineStr">
        <is>
          <t>4. Attachments/compliance</t>
        </is>
      </c>
      <c r="B12" s="17" t="inlineStr">
        <is>
          <t>SF-424 family, certifications, reps &amp; certs</t>
        </is>
      </c>
      <c r="C12" s="16" t="inlineStr">
        <is>
          <t>Analyst</t>
        </is>
      </c>
      <c r="D12" s="18" t="n">
        <v>6</v>
      </c>
      <c r="E12" s="11">
        <f>Inputs!$C$31</f>
        <v/>
      </c>
      <c r="F12" s="11">
        <f>D12*E12</f>
        <v/>
      </c>
      <c r="G12" s="17" t="inlineStr">
        <is>
          <t>Forms package</t>
        </is>
      </c>
      <c r="H12" s="17" t="inlineStr">
        <is>
          <t>Proposal cost - 2 CFR 200.460: indirect/F&amp;A or org own-source; NON-FederalAward; non-contingent</t>
        </is>
      </c>
    </row>
    <row r="13">
      <c r="A13" s="16" t="inlineStr">
        <is>
          <t>4. Attachments/compliance</t>
        </is>
      </c>
      <c r="B13" s="17" t="inlineStr">
        <is>
          <t>Letters of support, MOUs, env-review coordination</t>
        </is>
      </c>
      <c r="C13" s="16" t="inlineStr">
        <is>
          <t>Analyst</t>
        </is>
      </c>
      <c r="D13" s="18" t="n">
        <v>6</v>
      </c>
      <c r="E13" s="11">
        <f>Inputs!$C$31</f>
        <v/>
      </c>
      <c r="F13" s="11">
        <f>D13*E13</f>
        <v/>
      </c>
      <c r="G13" s="17" t="inlineStr">
        <is>
          <t>Attachments</t>
        </is>
      </c>
      <c r="H13" s="17" t="inlineStr">
        <is>
          <t>Proposal cost - 2 CFR 200.460: indirect/F&amp;A or org own-source; NON-FederalAward; non-contingent</t>
        </is>
      </c>
    </row>
    <row r="14">
      <c r="A14" s="16" t="inlineStr">
        <is>
          <t>5. Review/submit</t>
        </is>
      </c>
      <c r="B14" s="17" t="inlineStr">
        <is>
          <t>Internal review &amp; responsiveness check</t>
        </is>
      </c>
      <c r="C14" s="16" t="inlineStr">
        <is>
          <t>Principal</t>
        </is>
      </c>
      <c r="D14" s="18" t="n">
        <v>4</v>
      </c>
      <c r="E14" s="11">
        <f>Inputs!$C$30</f>
        <v/>
      </c>
      <c r="F14" s="11">
        <f>D14*E14</f>
        <v/>
      </c>
      <c r="G14" s="17" t="inlineStr">
        <is>
          <t>Reviewed package</t>
        </is>
      </c>
      <c r="H14" s="17" t="inlineStr">
        <is>
          <t>Proposal cost - 2 CFR 200.460: indirect/F&amp;A or org own-source; NON-FederalAward; non-contingent</t>
        </is>
      </c>
    </row>
    <row r="15">
      <c r="A15" s="16" t="inlineStr">
        <is>
          <t>5. Review/submit</t>
        </is>
      </c>
      <c r="B15" s="17" t="inlineStr">
        <is>
          <t>Portal submission (grants.gov / state e-grants)</t>
        </is>
      </c>
      <c r="C15" s="16" t="inlineStr">
        <is>
          <t>Analyst</t>
        </is>
      </c>
      <c r="D15" s="18" t="n">
        <v>2</v>
      </c>
      <c r="E15" s="11">
        <f>Inputs!$C$31</f>
        <v/>
      </c>
      <c r="F15" s="11">
        <f>D15*E15</f>
        <v/>
      </c>
      <c r="G15" s="17" t="inlineStr">
        <is>
          <t>Submission receipt</t>
        </is>
      </c>
      <c r="H15" s="17" t="inlineStr">
        <is>
          <t>Proposal cost - 2 CFR 200.460: indirect/F&amp;A or org own-source; NON-FederalAward; non-contingent</t>
        </is>
      </c>
    </row>
    <row r="16">
      <c r="A16" s="16" t="inlineStr">
        <is>
          <t>6. Post-award (if won)</t>
        </is>
      </c>
      <c r="B16" s="17" t="inlineStr">
        <is>
          <t>Award setup, drawdown &amp; subrecipient-monitoring setup</t>
        </is>
      </c>
      <c r="C16" s="16" t="inlineStr">
        <is>
          <t>Principal</t>
        </is>
      </c>
      <c r="D16" s="18" t="n">
        <v>8</v>
      </c>
      <c r="E16" s="11">
        <f>Inputs!$C$30</f>
        <v/>
      </c>
      <c r="F16" s="11">
        <f>D16*E16</f>
        <v/>
      </c>
      <c r="G16" s="17" t="inlineStr">
        <is>
          <t>Grants-mgmt setup</t>
        </is>
      </c>
      <c r="H16" s="17" t="inlineStr">
        <is>
          <t>ALLOWABLE on the WON award as grant-administration (200.413 / program admin line)</t>
        </is>
      </c>
    </row>
    <row r="17">
      <c r="A17" s="16" t="inlineStr">
        <is>
          <t>6. Post-award (if won)</t>
        </is>
      </c>
      <c r="B17" s="17" t="inlineStr">
        <is>
          <t>Compliance calendar &amp; reporting cadence</t>
        </is>
      </c>
      <c r="C17" s="16" t="inlineStr">
        <is>
          <t>Analyst</t>
        </is>
      </c>
      <c r="D17" s="18" t="n">
        <v>10</v>
      </c>
      <c r="E17" s="11">
        <f>Inputs!$C$31</f>
        <v/>
      </c>
      <c r="F17" s="11">
        <f>D17*E17</f>
        <v/>
      </c>
      <c r="G17" s="17" t="inlineStr">
        <is>
          <t>Compliance plan</t>
        </is>
      </c>
      <c r="H17" s="17" t="inlineStr">
        <is>
          <t>ALLOWABLE on the WON award as grant-administration (200.413 / program admin line)</t>
        </is>
      </c>
    </row>
    <row r="18">
      <c r="B18" s="3" t="inlineStr">
        <is>
          <t>WRITING subtotal (proposal cost - own-source / F&amp;A, non-contingent)</t>
        </is>
      </c>
      <c r="D18" s="19">
        <f>SUM(D5:D15)</f>
        <v/>
      </c>
      <c r="F18" s="13">
        <f>SUM(F5:F15)</f>
        <v/>
      </c>
    </row>
    <row r="19">
      <c r="B19" s="3" t="inlineStr">
        <is>
          <t>POST-AWARD subtotal (allowable grant-admin on the WON award)</t>
        </is>
      </c>
      <c r="D19" s="19">
        <f>SUM(D16:D17)</f>
        <v/>
      </c>
      <c r="F19" s="13">
        <f>SUM(F16:F17)</f>
        <v/>
      </c>
    </row>
    <row r="20">
      <c r="B20" s="3" t="inlineStr">
        <is>
          <t>ENGAGEMENT TOTAL (time &amp; materials reference)</t>
        </is>
      </c>
      <c r="D20" s="19">
        <f>D18+D19</f>
        <v/>
      </c>
      <c r="F20" s="13">
        <f>F18+F19</f>
        <v/>
      </c>
    </row>
    <row r="22">
      <c r="A22" s="3" t="inlineStr">
        <is>
          <t>FIXED-FEE RECONCILIATION (writing block)</t>
        </is>
      </c>
    </row>
    <row r="23">
      <c r="B23" s="9" t="inlineStr">
        <is>
          <t>Agreed fixed fee for the writing block (non-contingent)</t>
        </is>
      </c>
      <c r="F23" s="15">
        <f>Inputs!$C$33</f>
        <v/>
      </c>
    </row>
    <row r="24">
      <c r="B24" s="9" t="inlineStr">
        <is>
          <t>Time &amp; materials value of writing hours (from above)</t>
        </is>
      </c>
      <c r="F24" s="15">
        <f>F18</f>
        <v/>
      </c>
    </row>
    <row r="25">
      <c r="B25" s="9" t="inlineStr">
        <is>
          <t>Fixed-fee variance vs. T&amp;M (org's certainty premium / discount)</t>
        </is>
      </c>
      <c r="F25" s="15">
        <f>Inputs!$C$33-F18</f>
        <v/>
      </c>
    </row>
    <row r="26">
      <c r="B26" s="9" t="inlineStr">
        <is>
          <t>Writing hours (from above)</t>
        </is>
      </c>
      <c r="F26" s="20">
        <f>D18</f>
        <v/>
      </c>
    </row>
    <row r="27">
      <c r="B27" s="9" t="inlineStr">
        <is>
          <t>Effective blended rate on the fixed fee</t>
        </is>
      </c>
      <c r="F27" s="15">
        <f>Inputs!$C$33/D18</f>
        <v/>
      </c>
    </row>
    <row r="29">
      <c r="A29" s="3" t="inlineStr">
        <is>
          <t>WHY NON-CONTINGENT (what PublicLogic does NOT do)</t>
        </is>
      </c>
    </row>
    <row r="30">
      <c r="B30" s="9" t="inlineStr">
        <is>
          <t>Target award if won (illustrative)</t>
        </is>
      </c>
      <c r="F30" s="15">
        <f>Inputs!$C$35</f>
        <v/>
      </c>
    </row>
    <row r="31">
      <c r="B31" s="9" t="inlineStr">
        <is>
          <t>Client's expected win probability (planning only)</t>
        </is>
      </c>
      <c r="F31" s="21">
        <f>Inputs!$C$34</f>
        <v/>
      </c>
    </row>
    <row r="32">
      <c r="B32" s="22" t="inlineStr">
        <is>
          <t>A contingent 'X% of award' fee would be barred by 2 CFR 200.459(b).</t>
        </is>
      </c>
    </row>
    <row r="33">
      <c r="B33" s="22" t="inlineStr">
        <is>
          <t>PublicLogic charges the FIXED writing fee regardless of outcome -&gt; allowable professional service.</t>
        </is>
      </c>
    </row>
    <row r="34">
      <c r="B34" s="9" t="inlineStr">
        <is>
          <t>Expected-value of award to the org (context, not a fee basis)</t>
        </is>
      </c>
      <c r="F34" s="15">
        <f>Inputs!$C$35*Inputs!$C$34</f>
        <v/>
      </c>
    </row>
    <row r="36">
      <c r="A36" s="3" t="inlineStr">
        <is>
          <t>FUNDING-ROUTE NOTES (subject to the funding source, approved budget, and cost principles; not legal/accounting advice)</t>
        </is>
      </c>
    </row>
    <row r="37">
      <c r="A37" s="2" t="inlineStr">
        <is>
          <t xml:space="preserve">  * 2 CFR 200.460 -- Proposal costs (preparing bids/proposals/applications, successful OR unsuccessful) are normally</t>
        </is>
      </c>
    </row>
    <row r="38">
      <c r="A38" s="2" t="inlineStr">
        <is>
          <t xml:space="preserve">    treated as INDIRECT (F&amp;A) costs and allocated to current activities; they are NOT directly chargeable to the</t>
        </is>
      </c>
    </row>
    <row r="39">
      <c r="A39" s="2" t="inlineStr">
        <is>
          <t xml:space="preserve">    federal award being sought. The org pays the writing fee from own-source / unrestricted funds or its F&amp;A pool.</t>
        </is>
      </c>
    </row>
    <row r="40">
      <c r="A40" s="2" t="inlineStr">
        <is>
          <t xml:space="preserve">  * 2 CFR 200.459(b) -- professional-service costs are allowable; CONTINGENT fees are a factor against allowability.</t>
        </is>
      </c>
    </row>
    <row r="41">
      <c r="A41" s="2" t="inlineStr">
        <is>
          <t xml:space="preserve">    PublicLogic's writing fee is fixed and NON-CONTINGENT, which is what keeps it an allowable professional service.</t>
        </is>
      </c>
    </row>
    <row r="42">
      <c r="A42" s="2" t="inlineStr">
        <is>
          <t xml:space="preserve">  * 2 CFR 200.458 -- Pre-award costs are allowable only with prior written approval and only if necessary for the</t>
        </is>
      </c>
    </row>
    <row r="43">
      <c r="A43" s="2" t="inlineStr">
        <is>
          <t xml:space="preserve">    award; a 90-day-before-award window is typical. Post-award, grant-ADMINISTRATION (a different activity from</t>
        </is>
      </c>
    </row>
    <row r="44">
      <c r="A44" s="2" t="inlineStr">
        <is>
          <t xml:space="preserve">    writing) is allowable on the won award (200.413 direct admin / program admin line, e.g., CDBG's planning+admin).</t>
        </is>
      </c>
    </row>
    <row r="45">
      <c r="A45" s="2" t="inlineStr">
        <is>
          <t xml:space="preserve">  * Where an org has a capacity-building or planning grant (or foundation/own-source capacity funds), some writing</t>
        </is>
      </c>
    </row>
    <row r="46">
      <c r="A46" s="2" t="inlineStr">
        <is>
          <t xml:space="preserve">    support may be an allowable activity of THAT award -- never of the prospective award it is being written for.</t>
        </is>
      </c>
    </row>
    <row r="47">
      <c r="A47" s="2" t="inlineStr">
        <is>
          <t xml:space="preserve">  * Hours and rates here are illustrative planning assumptions, not quotes. Edit them on the Inputs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2026-06-03T11:35:52Z</dcterms:created>
  <dcterms:modified xsi:type="dcterms:W3CDTF">2026-06-03T11:35:52Z</dcterms:modified>
</cp:coreProperties>
</file>