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Fields" sheetId="3" state="visible" r:id="rId3"/>
    <sheet name="Sta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B5E2B"/>
      <sz val="14"/>
    </font>
    <font>
      <i val="1"/>
      <color rgb="00555555"/>
      <sz val="9"/>
    </font>
    <font>
      <b val="1"/>
      <color rgb="003B5E2B"/>
      <sz val="11"/>
    </font>
    <font>
      <b val="1"/>
      <color rgb="00FFFFFF"/>
      <sz val="11"/>
    </font>
    <font>
      <b val="1"/>
      <color rgb="00888888"/>
    </font>
    <font>
      <b val="1"/>
    </font>
    <font>
      <b val="1"/>
      <color rgb="003B5E2B"/>
    </font>
  </fonts>
  <fills count="5">
    <fill>
      <patternFill/>
    </fill>
    <fill>
      <patternFill patternType="gray125"/>
    </fill>
    <fill>
      <patternFill patternType="solid">
        <fgColor rgb="003B5E2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3" borderId="1" pivotButton="0" quotePrefix="0" xfId="0"/>
    <xf numFmtId="2" fontId="6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6" customWidth="1" min="1" max="1"/>
  </cols>
  <sheetData>
    <row r="1">
      <c r="A1" s="1" t="inlineStr">
        <is>
          <t>PublicLogic — 10 Development Fields the Model Works For</t>
        </is>
      </c>
    </row>
    <row r="2">
      <c r="A2" s="2" t="inlineStr">
        <is>
          <t>The model is field-agnostic: build the governance, stack the capital, steward the tail. Live scored &amp; ranked. Date: 2026-06-03. Figures illustrative; program statuses verified.</t>
        </is>
      </c>
    </row>
    <row r="4">
      <c r="A4" t="inlineStr"/>
    </row>
    <row r="5">
      <c r="A5" s="3" t="inlineStr">
        <is>
          <t>THE THESIS</t>
        </is>
      </c>
    </row>
    <row r="6">
      <c r="A6" t="inlineStr">
        <is>
          <t xml:space="preserve">  PublicLogic's model is not about pyrolysis. It is about any capital-stack development where you can</t>
        </is>
      </c>
    </row>
    <row r="7">
      <c r="A7" t="inlineStr">
        <is>
          <t xml:space="preserve">  (1) GRANT-STACK to assemble the money, and (2) STEWARD the multi-year compliance tail. In most</t>
        </is>
      </c>
    </row>
    <row r="8">
      <c r="A8" t="inlineStr">
        <is>
          <t xml:space="preserve">  development fields both are true — so PublicLogic can help build almost anything, the same cyclical way:</t>
        </is>
      </c>
    </row>
    <row r="9">
      <c r="A9" t="inlineStr">
        <is>
          <t xml:space="preserve">  Discover -&gt; Honor -&gt; Understand -&gt; Improve -&gt; Build -&gt; Steward -&gt; Continue.</t>
        </is>
      </c>
    </row>
    <row r="10">
      <c r="A10" t="inlineStr"/>
    </row>
    <row r="11">
      <c r="A11" s="3" t="inlineStr">
        <is>
          <t>THE REPEATABLE MOVE (every field)</t>
        </is>
      </c>
    </row>
    <row r="12">
      <c r="A12" t="inlineStr">
        <is>
          <t xml:space="preserve">  Cheap diagnostic -&gt; stack the capital (tax credits + grants + loans) -&gt; build the governance spine -&gt;</t>
        </is>
      </c>
    </row>
    <row r="13">
      <c r="A13" t="inlineStr">
        <is>
          <t xml:space="preserve">  hold the compliance tail as a retainer. PL's fee rides inside the capital as a soft/compliance cost,</t>
        </is>
      </c>
    </row>
    <row r="14">
      <c r="A14" t="inlineStr">
        <is>
          <t xml:space="preserve">  fixed &amp; non-contingent. The VAULT module library makes each new field cheaper to enter than the last.</t>
        </is>
      </c>
    </row>
    <row r="15">
      <c r="A15" t="inlineStr"/>
    </row>
    <row r="16">
      <c r="A16" s="3" t="inlineStr">
        <is>
          <t>SHEETS</t>
        </is>
      </c>
    </row>
    <row r="17">
      <c r="A17" t="inlineStr">
        <is>
          <t xml:space="preserve">  Inputs   - scoring weights (edit to re-rank).</t>
        </is>
      </c>
    </row>
    <row r="18">
      <c r="A18" t="inlineStr">
        <is>
          <t xml:space="preserve">  Fields   - the 10 fields, scored &amp; ranked (live composite + RANK).</t>
        </is>
      </c>
    </row>
    <row r="19">
      <c r="A19" t="inlineStr">
        <is>
          <t xml:space="preserve">  Stacks   - per field: the grant/credit stack, the compliance/steward tail, PL's fee route, the hook.</t>
        </is>
      </c>
    </row>
    <row r="20">
      <c r="A20" t="inlineStr"/>
    </row>
    <row r="21">
      <c r="A21" s="3" t="inlineStr">
        <is>
          <t>GUARDRAILS (carry from the funding architecture)</t>
        </is>
      </c>
    </row>
    <row r="22">
      <c r="A22" t="inlineStr">
        <is>
          <t xml:space="preserve">  * Keep PL fees FIXED &amp; NON-CONTINGENT on federal money (2 CFR 200.459(b)); grant-WRITING stays own-source (200.460).</t>
        </is>
      </c>
    </row>
    <row r="23">
      <c r="A23" t="inlineStr">
        <is>
          <t xml:space="preserve">  * On capital raises, PL is governance, not placement (securities lane).</t>
        </is>
      </c>
    </row>
    <row r="24">
      <c r="A24" t="inlineStr">
        <is>
          <t xml:space="preserve">  * Distinguish bedrock (NMTC permanent, 45Q, LIHTC, OZ, SRF/WIFIA, Medicaid) from sunsetting/volatile</t>
        </is>
      </c>
    </row>
    <row r="25">
      <c r="A25" t="inlineStr">
        <is>
          <t xml:space="preserve">    (48E/45Y wind-solar after 2027; BEAD/SLCGP/BRIC discretionary). Anchor deals on bedrock.</t>
        </is>
      </c>
    </row>
    <row r="26">
      <c r="A26" t="inlineStr"/>
    </row>
    <row r="27">
      <c r="A27" t="inlineStr">
        <is>
          <t>Not legal/accounting/securities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</cols>
  <sheetData>
    <row r="1">
      <c r="A1" s="1" t="inlineStr">
        <is>
          <t>Inputs — scoring weights</t>
        </is>
      </c>
    </row>
    <row r="2">
      <c r="A2" s="2" t="inlineStr">
        <is>
          <t>Edit yellow weights to re-rank. Should sum to 1.00.</t>
        </is>
      </c>
    </row>
    <row r="4">
      <c r="A4" s="4" t="inlineStr">
        <is>
          <t>Code</t>
        </is>
      </c>
      <c r="B4" s="4" t="inlineStr">
        <is>
          <t>Criterion</t>
        </is>
      </c>
      <c r="C4" s="4" t="inlineStr">
        <is>
          <t>Weight</t>
        </is>
      </c>
    </row>
    <row r="5">
      <c r="A5" s="5" t="inlineStr">
        <is>
          <t>MARKET</t>
        </is>
      </c>
      <c r="B5" t="inlineStr">
        <is>
          <t>Market size / volume of projects</t>
        </is>
      </c>
      <c r="C5" s="6" t="n">
        <v>0.18</v>
      </c>
    </row>
    <row r="6">
      <c r="A6" s="5" t="inlineStr">
        <is>
          <t>STACK</t>
        </is>
      </c>
      <c r="B6" t="inlineStr">
        <is>
          <t>Capital-stack richness (non-dilutive layers available)</t>
        </is>
      </c>
      <c r="C6" s="6" t="n">
        <v>0.2</v>
      </c>
    </row>
    <row r="7">
      <c r="A7" s="5" t="inlineStr">
        <is>
          <t>TAIL</t>
        </is>
      </c>
      <c r="B7" t="inlineStr">
        <is>
          <t>Compliance / stewardship tail (PL recurring revenue)</t>
        </is>
      </c>
      <c r="C7" s="6" t="n">
        <v>0.2</v>
      </c>
    </row>
    <row r="8">
      <c r="A8" s="5" t="inlineStr">
        <is>
          <t>FIT</t>
        </is>
      </c>
      <c r="B8" t="inlineStr">
        <is>
          <t>Fit with PublicLogic capability (governance + Boudreau/Rothschild)</t>
        </is>
      </c>
      <c r="C8" s="6" t="n">
        <v>0.18</v>
      </c>
    </row>
    <row r="9">
      <c r="A9" s="5" t="inlineStr">
        <is>
          <t>TAILWIND</t>
        </is>
      </c>
      <c r="B9" t="inlineStr">
        <is>
          <t>Policy tailwind (bedrock/permanent vs sunset/volatile)</t>
        </is>
      </c>
      <c r="C9" s="6" t="n">
        <v>0.12</v>
      </c>
    </row>
    <row r="10">
      <c r="A10" s="5" t="inlineStr">
        <is>
          <t>ENTRY</t>
        </is>
      </c>
      <c r="B10" t="inlineStr">
        <is>
          <t>Ease of entry / existing proof &amp; relationships</t>
        </is>
      </c>
      <c r="C10" s="6" t="n">
        <v>0.12</v>
      </c>
    </row>
    <row r="11">
      <c r="B11" s="3" t="inlineStr">
        <is>
          <t>SUM (must = 1.00)</t>
        </is>
      </c>
      <c r="C11" s="7">
        <f>SUM(C5:C10)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7" customWidth="1" min="11" max="11"/>
  </cols>
  <sheetData>
    <row r="1">
      <c r="A1" s="1" t="inlineStr">
        <is>
          <t>10 Development Fields — scored &amp; ranked (live)</t>
        </is>
      </c>
    </row>
    <row r="2">
      <c r="A2" s="2" t="inlineStr">
        <is>
          <t>Composite = weighted avg of the six 1-5 scores. Rank is live. Edit scores/weights to re-rank.</t>
        </is>
      </c>
    </row>
    <row r="4">
      <c r="A4" s="4" t="inlineStr">
        <is>
          <t>#</t>
        </is>
      </c>
      <c r="B4" s="4" t="inlineStr">
        <is>
          <t>Development field</t>
        </is>
      </c>
      <c r="C4" s="4" t="inlineStr">
        <is>
          <t>Representative project</t>
        </is>
      </c>
      <c r="D4" s="4" t="inlineStr">
        <is>
          <t>MARKET</t>
        </is>
      </c>
      <c r="E4" s="4" t="inlineStr">
        <is>
          <t>STACK</t>
        </is>
      </c>
      <c r="F4" s="4" t="inlineStr">
        <is>
          <t>TAIL</t>
        </is>
      </c>
      <c r="G4" s="4" t="inlineStr">
        <is>
          <t>FIT</t>
        </is>
      </c>
      <c r="H4" s="4" t="inlineStr">
        <is>
          <t>TAILWIND</t>
        </is>
      </c>
      <c r="I4" s="4" t="inlineStr">
        <is>
          <t>ENTRY</t>
        </is>
      </c>
      <c r="J4" s="4" t="inlineStr">
        <is>
          <t>Composite</t>
        </is>
      </c>
      <c r="K4" s="4" t="inlineStr">
        <is>
          <t>Rank</t>
        </is>
      </c>
    </row>
    <row r="5">
      <c r="A5" s="8" t="n">
        <v>1</v>
      </c>
      <c r="B5" s="9" t="inlineStr">
        <is>
          <t>Affordable &amp; workforce housing</t>
        </is>
      </c>
      <c r="C5" s="9" t="inlineStr">
        <is>
          <t>LIHTC apartments / mixed-income redevelopment</t>
        </is>
      </c>
      <c r="D5" s="10" t="n">
        <v>5</v>
      </c>
      <c r="E5" s="10" t="n">
        <v>5</v>
      </c>
      <c r="F5" s="10" t="n">
        <v>5</v>
      </c>
      <c r="G5" s="10" t="n">
        <v>4</v>
      </c>
      <c r="H5" s="10" t="n">
        <v>5</v>
      </c>
      <c r="I5" s="10" t="n">
        <v>3</v>
      </c>
      <c r="J5" s="7">
        <f>D5*Inputs!$C$5+E5*Inputs!$C$6+F5*Inputs!$C$7+G5*Inputs!$C$8+H5*Inputs!$C$9+I5*Inputs!$C$10</f>
        <v/>
      </c>
      <c r="K5" s="11">
        <f>RANK(J5,$J$5:$J$14,0)</f>
        <v/>
      </c>
    </row>
    <row r="6">
      <c r="A6" s="8" t="n">
        <v>2</v>
      </c>
      <c r="B6" s="9" t="inlineStr">
        <is>
          <t>Healthcare &amp; behavioral-health facilities</t>
        </is>
      </c>
      <c r="C6" s="9" t="inlineStr">
        <is>
          <t>FQHC / CCBHC / clinic (Rothschild lane)</t>
        </is>
      </c>
      <c r="D6" s="10" t="n">
        <v>5</v>
      </c>
      <c r="E6" s="10" t="n">
        <v>4</v>
      </c>
      <c r="F6" s="10" t="n">
        <v>5</v>
      </c>
      <c r="G6" s="10" t="n">
        <v>5</v>
      </c>
      <c r="H6" s="10" t="n">
        <v>4</v>
      </c>
      <c r="I6" s="10" t="n">
        <v>3</v>
      </c>
      <c r="J6" s="7">
        <f>D6*Inputs!$C$5+E6*Inputs!$C$6+F6*Inputs!$C$7+G6*Inputs!$C$8+H6*Inputs!$C$9+I6*Inputs!$C$10</f>
        <v/>
      </c>
      <c r="K6" s="11">
        <f>RANK(J6,$J$5:$J$14,0)</f>
        <v/>
      </c>
    </row>
    <row r="7">
      <c r="A7" s="8" t="n">
        <v>3</v>
      </c>
      <c r="B7" s="9" t="inlineStr">
        <is>
          <t>Water, wastewater, PFAS &amp; lead-line</t>
        </is>
      </c>
      <c r="C7" s="9" t="inlineStr">
        <is>
          <t>Treatment upgrade / LSL replacement / PFAS</t>
        </is>
      </c>
      <c r="D7" s="10" t="n">
        <v>5</v>
      </c>
      <c r="E7" s="10" t="n">
        <v>5</v>
      </c>
      <c r="F7" s="10" t="n">
        <v>5</v>
      </c>
      <c r="G7" s="10" t="n">
        <v>4</v>
      </c>
      <c r="H7" s="10" t="n">
        <v>4</v>
      </c>
      <c r="I7" s="10" t="n">
        <v>4</v>
      </c>
      <c r="J7" s="7">
        <f>D7*Inputs!$C$5+E7*Inputs!$C$6+F7*Inputs!$C$7+G7*Inputs!$C$8+H7*Inputs!$C$9+I7*Inputs!$C$10</f>
        <v/>
      </c>
      <c r="K7" s="11">
        <f>RANK(J7,$J$5:$J$14,0)</f>
        <v/>
      </c>
    </row>
    <row r="8">
      <c r="A8" s="8" t="n">
        <v>4</v>
      </c>
      <c r="B8" s="9" t="inlineStr">
        <is>
          <t>Broadband &amp; municipal digital infrastructure</t>
        </is>
      </c>
      <c r="C8" s="9" t="inlineStr">
        <is>
          <t>Municipal fiber / middle-mile (Shrewsbury)</t>
        </is>
      </c>
      <c r="D8" s="10" t="n">
        <v>4</v>
      </c>
      <c r="E8" s="10" t="n">
        <v>4</v>
      </c>
      <c r="F8" s="10" t="n">
        <v>4</v>
      </c>
      <c r="G8" s="10" t="n">
        <v>5</v>
      </c>
      <c r="H8" s="10" t="n">
        <v>3</v>
      </c>
      <c r="I8" s="10" t="n">
        <v>5</v>
      </c>
      <c r="J8" s="7">
        <f>D8*Inputs!$C$5+E8*Inputs!$C$6+F8*Inputs!$C$7+G8*Inputs!$C$8+H8*Inputs!$C$9+I8*Inputs!$C$10</f>
        <v/>
      </c>
      <c r="K8" s="11">
        <f>RANK(J8,$J$5:$J$14,0)</f>
        <v/>
      </c>
    </row>
    <row r="9">
      <c r="A9" s="8" t="n">
        <v>5</v>
      </c>
      <c r="B9" s="9" t="inlineStr">
        <is>
          <t>Brownfield redevelopment &amp; site reuse</t>
        </is>
      </c>
      <c r="C9" s="9" t="inlineStr">
        <is>
          <t>Cleanup -&gt; mixed-use / industrial reuse</t>
        </is>
      </c>
      <c r="D9" s="10" t="n">
        <v>4</v>
      </c>
      <c r="E9" s="10" t="n">
        <v>5</v>
      </c>
      <c r="F9" s="10" t="n">
        <v>5</v>
      </c>
      <c r="G9" s="10" t="n">
        <v>5</v>
      </c>
      <c r="H9" s="10" t="n">
        <v>4</v>
      </c>
      <c r="I9" s="10" t="n">
        <v>4</v>
      </c>
      <c r="J9" s="7">
        <f>D9*Inputs!$C$5+E9*Inputs!$C$6+F9*Inputs!$C$7+G9*Inputs!$C$8+H9*Inputs!$C$9+I9*Inputs!$C$10</f>
        <v/>
      </c>
      <c r="K9" s="11">
        <f>RANK(J9,$J$5:$J$14,0)</f>
        <v/>
      </c>
    </row>
    <row r="10">
      <c r="A10" s="8" t="n">
        <v>6</v>
      </c>
      <c r="B10" s="9" t="inlineStr">
        <is>
          <t>Renewable energy, storage &amp; microgrids</t>
        </is>
      </c>
      <c r="C10" s="9" t="inlineStr">
        <is>
          <t>Solar+storage / microgrid for critical facilities</t>
        </is>
      </c>
      <c r="D10" s="10" t="n">
        <v>4</v>
      </c>
      <c r="E10" s="10" t="n">
        <v>4</v>
      </c>
      <c r="F10" s="10" t="n">
        <v>4</v>
      </c>
      <c r="G10" s="10" t="n">
        <v>3</v>
      </c>
      <c r="H10" s="10" t="n">
        <v>2</v>
      </c>
      <c r="I10" s="10" t="n">
        <v>3</v>
      </c>
      <c r="J10" s="7">
        <f>D10*Inputs!$C$5+E10*Inputs!$C$6+F10*Inputs!$C$7+G10*Inputs!$C$8+H10*Inputs!$C$9+I10*Inputs!$C$10</f>
        <v/>
      </c>
      <c r="K10" s="11">
        <f>RANK(J10,$J$5:$J$14,0)</f>
        <v/>
      </c>
    </row>
    <row r="11">
      <c r="A11" s="8" t="n">
        <v>7</v>
      </c>
      <c r="B11" s="9" t="inlineStr">
        <is>
          <t>Advanced &amp; domestic manufacturing / critical minerals</t>
        </is>
      </c>
      <c r="C11" s="9" t="inlineStr">
        <is>
          <t>Plant build / equipment (OBBBA-new NMTC)</t>
        </is>
      </c>
      <c r="D11" s="10" t="n">
        <v>4</v>
      </c>
      <c r="E11" s="10" t="n">
        <v>5</v>
      </c>
      <c r="F11" s="10" t="n">
        <v>4</v>
      </c>
      <c r="G11" s="10" t="n">
        <v>3</v>
      </c>
      <c r="H11" s="10" t="n">
        <v>5</v>
      </c>
      <c r="I11" s="10" t="n">
        <v>2</v>
      </c>
      <c r="J11" s="7">
        <f>D11*Inputs!$C$5+E11*Inputs!$C$6+F11*Inputs!$C$7+G11*Inputs!$C$8+H11*Inputs!$C$9+I11*Inputs!$C$10</f>
        <v/>
      </c>
      <c r="K11" s="11">
        <f>RANK(J11,$J$5:$J$14,0)</f>
        <v/>
      </c>
    </row>
    <row r="12">
      <c r="A12" s="8" t="n">
        <v>8</v>
      </c>
      <c r="B12" s="9" t="inlineStr">
        <is>
          <t>Food systems &amp; ag processing / cold storage</t>
        </is>
      </c>
      <c r="C12" s="9" t="inlineStr">
        <is>
          <t>Value-added processing / cold-storage hub</t>
        </is>
      </c>
      <c r="D12" s="10" t="n">
        <v>3</v>
      </c>
      <c r="E12" s="10" t="n">
        <v>4</v>
      </c>
      <c r="F12" s="10" t="n">
        <v>4</v>
      </c>
      <c r="G12" s="10" t="n">
        <v>3</v>
      </c>
      <c r="H12" s="10" t="n">
        <v>4</v>
      </c>
      <c r="I12" s="10" t="n">
        <v>3</v>
      </c>
      <c r="J12" s="7">
        <f>D12*Inputs!$C$5+E12*Inputs!$C$6+F12*Inputs!$C$7+G12*Inputs!$C$8+H12*Inputs!$C$9+I12*Inputs!$C$10</f>
        <v/>
      </c>
      <c r="K12" s="11">
        <f>RANK(J12,$J$5:$J$14,0)</f>
        <v/>
      </c>
    </row>
    <row r="13">
      <c r="A13" s="8" t="n">
        <v>9</v>
      </c>
      <c r="B13" s="9" t="inlineStr">
        <is>
          <t>Workforce, education &amp; childcare facilities</t>
        </is>
      </c>
      <c r="C13" s="9" t="inlineStr">
        <is>
          <t>Training center / charter / childcare build</t>
        </is>
      </c>
      <c r="D13" s="10" t="n">
        <v>4</v>
      </c>
      <c r="E13" s="10" t="n">
        <v>4</v>
      </c>
      <c r="F13" s="10" t="n">
        <v>4</v>
      </c>
      <c r="G13" s="10" t="n">
        <v>4</v>
      </c>
      <c r="H13" s="10" t="n">
        <v>4</v>
      </c>
      <c r="I13" s="10" t="n">
        <v>3</v>
      </c>
      <c r="J13" s="7">
        <f>D13*Inputs!$C$5+E13*Inputs!$C$6+F13*Inputs!$C$7+G13*Inputs!$C$8+H13*Inputs!$C$9+I13*Inputs!$C$10</f>
        <v/>
      </c>
      <c r="K13" s="11">
        <f>RANK(J13,$J$5:$J$14,0)</f>
        <v/>
      </c>
    </row>
    <row r="14">
      <c r="A14" s="8" t="n">
        <v>10</v>
      </c>
      <c r="B14" s="9" t="inlineStr">
        <is>
          <t>Carbon, environmental &amp; ecosystem-credit markets</t>
        </is>
      </c>
      <c r="C14" s="9" t="inlineStr">
        <is>
          <t>45Q + carbon/RIN/nutrient/PFAS credits</t>
        </is>
      </c>
      <c r="D14" s="10" t="n">
        <v>4</v>
      </c>
      <c r="E14" s="10" t="n">
        <v>4</v>
      </c>
      <c r="F14" s="10" t="n">
        <v>5</v>
      </c>
      <c r="G14" s="10" t="n">
        <v>4</v>
      </c>
      <c r="H14" s="10" t="n">
        <v>4</v>
      </c>
      <c r="I14" s="10" t="n">
        <v>5</v>
      </c>
      <c r="J14" s="7">
        <f>D14*Inputs!$C$5+E14*Inputs!$C$6+F14*Inputs!$C$7+G14*Inputs!$C$8+H14*Inputs!$C$9+I14*Inputs!$C$10</f>
        <v/>
      </c>
      <c r="K14" s="11">
        <f>RANK(J14,$J$5:$J$14,0)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52" customWidth="1" min="3" max="3"/>
    <col width="40" customWidth="1" min="4" max="4"/>
    <col width="44" customWidth="1" min="5" max="5"/>
  </cols>
  <sheetData>
    <row r="1">
      <c r="A1" s="1" t="inlineStr">
        <is>
          <t>Per field — the grant/credit stack, the steward tail, PL's fee route, the hook</t>
        </is>
      </c>
    </row>
    <row r="2">
      <c r="A2" s="2" t="inlineStr">
        <is>
          <t>How PublicLogic grant-stacks and stewards each field. Bedrock vs sunsetting noted. Verified 2026-06-03.</t>
        </is>
      </c>
    </row>
    <row r="4">
      <c r="A4" s="4" t="inlineStr">
        <is>
          <t>#</t>
        </is>
      </c>
      <c r="B4" s="4" t="inlineStr">
        <is>
          <t>Field</t>
        </is>
      </c>
      <c r="C4" s="4" t="inlineStr">
        <is>
          <t>Grant / credit stack (layers to assemble)</t>
        </is>
      </c>
      <c r="D4" s="4" t="inlineStr">
        <is>
          <t>Compliance &amp; stewardship tail</t>
        </is>
      </c>
      <c r="E4" s="4" t="inlineStr">
        <is>
          <t>PL fee route / the hook</t>
        </is>
      </c>
    </row>
    <row r="5">
      <c r="A5" s="12" t="n">
        <v>1</v>
      </c>
      <c r="B5" s="13" t="inlineStr">
        <is>
          <t>Affordable &amp; workforce housing</t>
        </is>
      </c>
      <c r="C5" s="13" t="inlineStr">
        <is>
          <t>LIHTC (9%/4% — expanded by OBBBA) + tax-exempt bonds + HOME + OZ (permanent) + HTC + state DHCD/EOHLC</t>
        </is>
      </c>
      <c r="D5" s="13" t="inlineStr">
        <is>
          <t>15-yr LIHTC compliance + extended-use (to 30+ yrs) — long, recurring tail</t>
        </is>
      </c>
      <c r="E5" s="13" t="inlineStr">
        <is>
          <t>Compliance soft cost in the deal; 15-yr asset-management/steward retainer</t>
        </is>
      </c>
    </row>
    <row r="6">
      <c r="A6" s="12" t="n">
        <v>2</v>
      </c>
      <c r="B6" s="13" t="inlineStr">
        <is>
          <t>Healthcare &amp; behavioral-health facilities</t>
        </is>
      </c>
      <c r="C6" s="13" t="inlineStr">
        <is>
          <t>NMTC (permanent) + HRSA + USDA Community Facilities + Medicaid/CCBHC (entitlement) + state behavioral-health</t>
        </is>
      </c>
      <c r="D6" s="13" t="inlineStr">
        <is>
          <t>7-yr NMTC + ongoing Medicaid/clinical compliance — Rothschild's CFIR lane</t>
        </is>
      </c>
      <c r="E6" s="13" t="inlineStr">
        <is>
          <t>NMTC soft cost + behavioral-systems continuity retainer (Rothschild)</t>
        </is>
      </c>
    </row>
    <row r="7">
      <c r="A7" s="12" t="n">
        <v>3</v>
      </c>
      <c r="B7" s="13" t="inlineStr">
        <is>
          <t>Water, wastewater, PFAS &amp; lead-line</t>
        </is>
      </c>
      <c r="C7" s="13" t="inlineStr">
        <is>
          <t>CWSRF/DWSRF (funded FY26) + WIFIA (active, ~$7B) + EPA Brownfields + IIJA lead/PFAS set-asides</t>
        </is>
      </c>
      <c r="D7" s="13" t="inlineStr">
        <is>
          <t>Loan covenants + Davis-Bacon + lead/PFAS reporting over 20-40 yr asset life</t>
        </is>
      </c>
      <c r="E7" s="13" t="inlineStr">
        <is>
          <t>Soft cost (planning/design) + ongoing SRF/WIFIA compliance retainer</t>
        </is>
      </c>
    </row>
    <row r="8">
      <c r="A8" s="12" t="n">
        <v>4</v>
      </c>
      <c r="B8" s="13" t="inlineStr">
        <is>
          <t>Broadband &amp; municipal digital infrastructure</t>
        </is>
      </c>
      <c r="C8" s="13" t="inlineStr">
        <is>
          <t>BEAD (in-flux) + USDA ReConnect + Community Compact (no match) + state middle-mile + private ISP capital</t>
        </is>
      </c>
      <c r="D8" s="13" t="inlineStr">
        <is>
          <t>Buildout-milestone + BEAD reporting; municipal governance tail</t>
        </is>
      </c>
      <c r="E8" s="13" t="inlineStr">
        <is>
          <t>Grant admin + governance (LogicOS/CivicPulse) + retainer — PROVEN at Shrewsbury</t>
        </is>
      </c>
    </row>
    <row r="9">
      <c r="A9" s="12" t="n">
        <v>5</v>
      </c>
      <c r="B9" s="13" t="inlineStr">
        <is>
          <t>Brownfield redevelopment &amp; site reuse</t>
        </is>
      </c>
      <c r="C9" s="13" t="inlineStr">
        <is>
          <t>EPA Brownfields (assessment/cleanup/RLF) + CWSRF + OZ + state + Brownfield TIF/DIF + NMTC on the reuse</t>
        </is>
      </c>
      <c r="D9" s="13" t="inlineStr">
        <is>
          <t>Institutional controls + environmental covenants — effectively permanent</t>
        </is>
      </c>
      <c r="E9" s="13" t="inlineStr">
        <is>
          <t>Cleanup soft cost + long-horizon environmental-controls stewardship</t>
        </is>
      </c>
    </row>
    <row r="10">
      <c r="A10" s="12" t="n">
        <v>6</v>
      </c>
      <c r="B10" s="13" t="inlineStr">
        <is>
          <t>Renewable energy, storage &amp; microgrids</t>
        </is>
      </c>
      <c r="C10" s="13" t="inlineStr">
        <is>
          <t>48E/45Y ITC/PTC (SUNSETTING — begin constr. before 7/4/2026) + 45Q ($85) + USDA REAP + direct pay (6417)</t>
        </is>
      </c>
      <c r="D10" s="13" t="inlineStr">
        <is>
          <t>Prevailing-wage, domestic-content, FEOC, interconnection — front-loaded; 45Q 12-yr</t>
        </is>
      </c>
      <c r="E10" s="13" t="inlineStr">
        <is>
          <t>Soft cost + compliance; URGENT timing window — anchor on 45Q (bedrock), treat ITC as time-boxed</t>
        </is>
      </c>
    </row>
    <row r="11">
      <c r="A11" s="12" t="n">
        <v>7</v>
      </c>
      <c r="B11" s="13" t="inlineStr">
        <is>
          <t>Advanced &amp; domestic manufacturing / critical minerals</t>
        </is>
      </c>
      <c r="C11" s="13" t="inlineStr">
        <is>
          <t>NMTC (newly eligible under OBBBA) + 48C + EDA Public Works + state incentives + USDA B&amp;I</t>
        </is>
      </c>
      <c r="D11" s="13" t="inlineStr">
        <is>
          <t>Job-creation covenants + supply-chain + 7-yr NMTC — strong recurring tail</t>
        </is>
      </c>
      <c r="E11" s="13" t="inlineStr">
        <is>
          <t>NMTC soft cost + covenant-monitoring retainer; OBBBA tailwind is strongest here</t>
        </is>
      </c>
    </row>
    <row r="12">
      <c r="A12" s="12" t="n">
        <v>8</v>
      </c>
      <c r="B12" s="13" t="inlineStr">
        <is>
          <t>Food systems &amp; ag processing / cold storage</t>
        </is>
      </c>
      <c r="C12" s="13" t="inlineStr">
        <is>
          <t>USDA RD (Water/CF/B&amp;I) + NMTC supply-chain category + REAP + state ag + private offtake</t>
        </is>
      </c>
      <c r="D12" s="13" t="inlineStr">
        <is>
          <t>Food-safety + job-creation + USDA loan compliance</t>
        </is>
      </c>
      <c r="E12" s="13" t="inlineStr">
        <is>
          <t>Grant stacking + compliance retainer; rural/food-desert angle</t>
        </is>
      </c>
    </row>
    <row r="13">
      <c r="A13" s="12" t="n">
        <v>9</v>
      </c>
      <c r="B13" s="13" t="inlineStr">
        <is>
          <t>Workforce, education &amp; childcare facilities</t>
        </is>
      </c>
      <c r="C13" s="13" t="inlineStr">
        <is>
          <t>NMTC + WIOA + state education/childcare + OZ + philanthropic/foundation capital</t>
        </is>
      </c>
      <c r="D13" s="13" t="inlineStr">
        <is>
          <t>Outcomes reporting + 7-yr NMTC + program compliance</t>
        </is>
      </c>
      <c r="E13" s="13" t="inlineStr">
        <is>
          <t>Soft cost + outcomes-governance retainer; pairs with workforce for energy/mfg sites</t>
        </is>
      </c>
    </row>
    <row r="14">
      <c r="A14" s="12" t="n">
        <v>10</v>
      </c>
      <c r="B14" s="13" t="inlineStr">
        <is>
          <t>Carbon, environmental &amp; ecosystem-credit markets</t>
        </is>
      </c>
      <c r="C14" s="13" t="inlineStr">
        <is>
          <t>45Q ($85, strengthened) + voluntary carbon/RIN + nutrient/PFAS-credit markets + brownfield + OZ</t>
        </is>
      </c>
      <c r="D14" s="13" t="inlineStr">
        <is>
          <t>Registry verification / MRV (Puro.earth etc.) — ongoing, the core circular-economy tail</t>
        </is>
      </c>
      <c r="E14" s="13" t="inlineStr">
        <is>
          <t>The Michigan/AED core extended: governance + MRV compliance retainer (highest tail)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2026-06-04T07:56:09Z</dcterms:created>
  <dcterms:modified xsi:type="dcterms:W3CDTF">2026-06-04T07:56:09Z</dcterms:modified>
</cp:coreProperties>
</file>