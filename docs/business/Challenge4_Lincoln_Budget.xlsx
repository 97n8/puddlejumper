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3" fontId="0" fillId="0" borderId="1" pivotButton="0" quotePrefix="0" xfId="0"/>
    <xf numFmtId="3" fontId="1" fillId="3" borderId="0" pivotButton="0" quotePrefix="0" xfId="0"/>
    <xf numFmtId="0" fontId="2" fillId="2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3" fontId="3" fillId="3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Michigan Department of Environment, Great Lakes, and Energy — Office of Climate and Energy
MI Healthy Climate Challenge #4 — Applicant Budget Template (EQP1167 format)</t>
        </is>
      </c>
    </row>
    <row r="3">
      <c r="A3" s="2" t="inlineStr">
        <is>
          <t>Applicant Name:</t>
        </is>
      </c>
      <c r="B3" t="inlineStr">
        <is>
          <t>Energy Mann &amp; Sunn, Inc. (DBA Michigan LTC)</t>
        </is>
      </c>
    </row>
    <row r="4">
      <c r="A4" s="2" t="inlineStr">
        <is>
          <t>Project Name:</t>
        </is>
      </c>
      <c r="B4" t="inlineStr">
        <is>
          <t>Industrial Asset Transition Study — National Energy of Lincoln Biomass Facility</t>
        </is>
      </c>
    </row>
    <row r="6">
      <c r="A6" s="3" t="inlineStr">
        <is>
          <t>Personnel Staff - Name and Title</t>
        </is>
      </c>
      <c r="B6" s="3" t="inlineStr">
        <is>
          <t>Hours</t>
        </is>
      </c>
      <c r="C6" s="3" t="inlineStr">
        <is>
          <t>Hourly Rate</t>
        </is>
      </c>
      <c r="D6" s="3" t="inlineStr">
        <is>
          <t>Requested Amount</t>
        </is>
      </c>
    </row>
    <row r="7">
      <c r="A7" s="4" t="inlineStr">
        <is>
          <t>Project Manager (EM&amp;S / National Salvage) — study lead &amp; coordination</t>
        </is>
      </c>
      <c r="B7" s="5" t="n">
        <v>600</v>
      </c>
      <c r="C7" s="6" t="n">
        <v>60</v>
      </c>
      <c r="D7" s="6">
        <f>B7*C7</f>
        <v/>
      </c>
    </row>
    <row r="8">
      <c r="A8" s="4" t="inlineStr">
        <is>
          <t>Data / Energy Analyst — facility data, baseline support</t>
        </is>
      </c>
      <c r="B8" s="5" t="n">
        <v>360</v>
      </c>
      <c r="C8" s="6" t="n">
        <v>50</v>
      </c>
      <c r="D8" s="6">
        <f>B8*C8</f>
        <v/>
      </c>
    </row>
    <row r="9">
      <c r="A9" s="2" t="inlineStr">
        <is>
          <t>Personnel Subtotal</t>
        </is>
      </c>
      <c r="D9" s="7">
        <f>SUM(D7:D8)</f>
        <v/>
      </c>
    </row>
    <row r="11">
      <c r="A11" s="8" t="inlineStr">
        <is>
          <t>Fringe Benefits</t>
        </is>
      </c>
      <c r="C11" s="8" t="inlineStr">
        <is>
          <t>Rate</t>
        </is>
      </c>
      <c r="D11" s="8" t="inlineStr">
        <is>
          <t>Requested Amount</t>
        </is>
      </c>
    </row>
    <row r="12">
      <c r="A12" t="inlineStr">
        <is>
          <t>Fringe (contractor/loaded-rate basis)</t>
        </is>
      </c>
      <c r="C12" s="9" t="n">
        <v>0</v>
      </c>
      <c r="D12" s="10">
        <f>D9*C12</f>
        <v/>
      </c>
    </row>
    <row r="13">
      <c r="A13" s="2" t="inlineStr">
        <is>
          <t>Personnel Costs Subtotal (Personnel + Fringe)</t>
        </is>
      </c>
      <c r="D13" s="7">
        <f>D9+D12</f>
        <v/>
      </c>
    </row>
    <row r="15">
      <c r="A15" s="3" t="inlineStr">
        <is>
          <t>Contractual Services</t>
        </is>
      </c>
      <c r="B15" s="3" t="inlineStr">
        <is>
          <t>Hours or Units</t>
        </is>
      </c>
      <c r="C15" s="3" t="inlineStr">
        <is>
          <t>Cost</t>
        </is>
      </c>
      <c r="D15" s="3" t="inlineStr">
        <is>
          <t>Requested Amount</t>
        </is>
      </c>
    </row>
    <row r="16">
      <c r="A16" s="4" t="inlineStr">
        <is>
          <t>WasteWerx LLC — process &amp; thermal engineering, system design feasibility</t>
        </is>
      </c>
      <c r="B16" s="11" t="inlineStr">
        <is>
          <t>fixed scope</t>
        </is>
      </c>
      <c r="C16" s="11" t="n"/>
      <c r="D16" s="6" t="n">
        <v>95000</v>
      </c>
    </row>
    <row r="17">
      <c r="A17" s="4" t="inlineStr">
        <is>
          <t>Independent energy &amp; emissions modeling — GHG baseline, AVERT/EPA factors, enabling-infrastructure</t>
        </is>
      </c>
      <c r="B17" s="11" t="inlineStr">
        <is>
          <t>fixed scope</t>
        </is>
      </c>
      <c r="C17" s="11" t="n"/>
      <c r="D17" s="6" t="n">
        <v>70000</v>
      </c>
    </row>
    <row r="18">
      <c r="A18" s="4" t="inlineStr">
        <is>
          <t>PublicLogic LLC — project governance, GHG accounting framework, compliance, deliverables (fixed, non-contingent)</t>
        </is>
      </c>
      <c r="B18" s="11" t="inlineStr">
        <is>
          <t>fixed scope</t>
        </is>
      </c>
      <c r="C18" s="11" t="n"/>
      <c r="D18" s="6" t="n">
        <v>90000</v>
      </c>
    </row>
    <row r="19">
      <c r="A19" s="4" t="inlineStr">
        <is>
          <t>Acadia Capital Management — financial, scenario &amp; investment-readiness analysis</t>
        </is>
      </c>
      <c r="B19" s="11" t="inlineStr">
        <is>
          <t>fixed scope</t>
        </is>
      </c>
      <c r="C19" s="11" t="n"/>
      <c r="D19" s="6" t="n">
        <v>40000</v>
      </c>
    </row>
    <row r="20">
      <c r="A20" s="4" t="inlineStr">
        <is>
          <t>Community &amp; workforce subaward (Rothschild/PublicLogic + community partner) — &lt;=5% of award</t>
        </is>
      </c>
      <c r="B20" s="11" t="inlineStr">
        <is>
          <t>subaward</t>
        </is>
      </c>
      <c r="C20" s="11" t="n"/>
      <c r="D20" s="6" t="n">
        <v>19000</v>
      </c>
    </row>
    <row r="21">
      <c r="A21" s="4" t="inlineStr">
        <is>
          <t>National Energy of Lincoln — facility engineering &amp; data support (host staff time)</t>
        </is>
      </c>
      <c r="B21" s="11" t="inlineStr">
        <is>
          <t>fixed scope</t>
        </is>
      </c>
      <c r="C21" s="11" t="n"/>
      <c r="D21" s="6" t="n">
        <v>25000</v>
      </c>
    </row>
    <row r="22">
      <c r="A22" s="4" t="inlineStr">
        <is>
          <t>Knowledge-sharing, final report/deck/public summary, EGLE convening</t>
        </is>
      </c>
      <c r="B22" s="11" t="inlineStr">
        <is>
          <t>fixed scope</t>
        </is>
      </c>
      <c r="C22" s="11" t="n"/>
      <c r="D22" s="6" t="n">
        <v>6000</v>
      </c>
    </row>
    <row r="23">
      <c r="A23" s="2" t="inlineStr">
        <is>
          <t>Contractual Subtotal</t>
        </is>
      </c>
      <c r="D23" s="7">
        <f>SUM(D16:D22)</f>
        <v/>
      </c>
    </row>
    <row r="25">
      <c r="A25" s="2" t="inlineStr">
        <is>
          <t>TOTAL GRANT REQUEST</t>
        </is>
      </c>
      <c r="D25" s="12">
        <f>D13+D23</f>
        <v/>
      </c>
    </row>
    <row r="26">
      <c r="A26" s="13" t="inlineStr">
        <is>
          <t>Community subaward as % of total (must be &lt;=5%)</t>
        </is>
      </c>
      <c r="D26" s="14">
        <f>D20/D25</f>
        <v/>
      </c>
    </row>
    <row r="28">
      <c r="A28" s="13" t="inlineStr"/>
    </row>
    <row r="29">
      <c r="A29" s="2" t="inlineStr">
        <is>
          <t>NOTES</t>
        </is>
      </c>
    </row>
    <row r="30">
      <c r="A30" s="13" t="inlineStr">
        <is>
          <t xml:space="preserve">  * Study/planning costs only — no equipment, installation, or construction (per program rules).</t>
        </is>
      </c>
    </row>
    <row r="31">
      <c r="A31" s="13" t="inlineStr">
        <is>
          <t xml:space="preserve">  * Total $399,000 sized under the '&lt;$400,000 encouraged' guidance; scope is scalable if a reduced award is offered.</t>
        </is>
      </c>
    </row>
    <row r="32">
      <c r="A32" s="13" t="inlineStr">
        <is>
          <t xml:space="preserve">  * OPTIONAL SCOPE TIER (if full award): expand scenario modeling + add second-facility (McBain) comparative</t>
        </is>
      </c>
    </row>
    <row r="33">
      <c r="A33" s="13" t="inlineStr">
        <is>
          <t xml:space="preserve">    screen, +$0 here (kept under $400k) — describe scalability in the budget narrative.</t>
        </is>
      </c>
    </row>
    <row r="34">
      <c r="A34" s="13" t="inlineStr">
        <is>
          <t xml:space="preserve">  * PublicLogic fee is FIXED and NON-CONTINGENT on award (2 CFR 200.459); no grant-stacking/contingent fee in this study.</t>
        </is>
      </c>
    </row>
    <row r="35">
      <c r="A35" s="13" t="inlineStr">
        <is>
          <t xml:space="preserve">  * Confirm leveraged/match (in-kind facility staff time; partner cost-share) in the narrative — strengthens Facility Commitment.</t>
        </is>
      </c>
    </row>
    <row r="36">
      <c r="A36" s="13" t="inlineStr">
        <is>
          <t xml:space="preserve">  * Not legal/accounting advice. Figures illustrative pending final partner quotes.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2026-06-04T23:27:42Z</dcterms:created>
  <dcterms:modified xmlns:dcterms="http://purl.org/dc/terms/" xmlns:xsi="http://www.w3.org/2001/XMLSchema-instance" xsi:type="dcterms:W3CDTF">2026-06-04T23:27:42Z</dcterms:modified>
</cp:coreProperties>
</file>