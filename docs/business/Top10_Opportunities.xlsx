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Top10" sheetId="3" state="visible" r:id="rId3"/>
    <sheet name="Revenue" sheetId="4" state="visible" r:id="rId4"/>
    <sheet name="A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555555"/>
      <sz val="9"/>
    </font>
    <font>
      <b val="1"/>
      <color rgb="001F4E5F"/>
      <sz val="11"/>
    </font>
    <font>
      <b val="1"/>
      <color rgb="00FFFFFF"/>
      <sz val="11"/>
    </font>
    <font>
      <b val="1"/>
      <color rgb="00888888"/>
    </font>
    <font>
      <b val="1"/>
    </font>
    <font>
      <b val="1"/>
      <color rgb="001F4E5F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3" borderId="1" pivotButton="0" quotePrefix="0" xfId="0"/>
    <xf numFmtId="2" fontId="6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PublicLogic — Top 10 Opportunities (Business Relationships)</t>
        </is>
      </c>
    </row>
    <row r="2">
      <c r="A2" s="2" t="inlineStr">
        <is>
          <t>Live scored &amp; ranked. Yellow = editable weights (Inputs). Date: 2026-06-03. Revenue figures are illustrative planning estimates from PublicLogic's own deal docs, not quotes.</t>
        </is>
      </c>
    </row>
    <row r="4">
      <c r="A4" t="inlineStr"/>
    </row>
    <row r="5">
      <c r="A5" s="3" t="inlineStr">
        <is>
          <t>PURPOSE</t>
        </is>
      </c>
    </row>
    <row r="6">
      <c r="A6" t="inlineStr">
        <is>
          <t xml:space="preserve">  Prioritize the opportunities heading into PublicLogic's relationships with its business people —</t>
        </is>
      </c>
    </row>
    <row r="7">
      <c r="A7" t="inlineStr">
        <is>
          <t xml:space="preserve">  Robert McCall (EM&amp;S / Michigan LTC Network), Glen Scharer (Carbon Alliance), WasteWerx, AED,</t>
        </is>
      </c>
    </row>
    <row r="8">
      <c r="A8" t="inlineStr">
        <is>
          <t xml:space="preserve">  Acadia Capital, CivicPlus, and the NMTC/CDE channel — so effort goes where the leverage is.</t>
        </is>
      </c>
    </row>
    <row r="9">
      <c r="A9" t="inlineStr"/>
    </row>
    <row r="10">
      <c r="A10" s="3" t="inlineStr">
        <is>
          <t>SHEETS</t>
        </is>
      </c>
    </row>
    <row r="11">
      <c r="A11" t="inlineStr">
        <is>
          <t xml:space="preserve">  Inputs      - scoring weights (edit to re-rank). Weights sum to 1.00.</t>
        </is>
      </c>
    </row>
    <row r="12">
      <c r="A12" t="inlineStr">
        <is>
          <t xml:space="preserve">  Top10       - the scored, ranked opportunities. Composite &amp; Rank are live formulas.</t>
        </is>
      </c>
    </row>
    <row r="13">
      <c r="A13" t="inlineStr">
        <is>
          <t xml:space="preserve">  Revenue     - PublicLogic fee potential per opportunity (near-12-month + lifetime). Live totals.</t>
        </is>
      </c>
    </row>
    <row r="14">
      <c r="A14" t="inlineStr">
        <is>
          <t xml:space="preserve">  Action      - relationship owner, the move, fee structure, cost route, key flag, next step.</t>
        </is>
      </c>
    </row>
    <row r="15">
      <c r="A15" t="inlineStr"/>
    </row>
    <row r="16">
      <c r="A16" s="3" t="inlineStr">
        <is>
          <t>HOW THE SCORE WORKS</t>
        </is>
      </c>
    </row>
    <row r="17">
      <c r="A17" t="inlineStr">
        <is>
          <t xml:space="preserve">  Each opportunity is scored 1-5 (5=best) on six criteria: REV, PROB, RECUR, STRAT, SPEED, RISKADJ.</t>
        </is>
      </c>
    </row>
    <row r="18">
      <c r="A18" t="inlineStr">
        <is>
          <t xml:space="preserve">  Composite = weighted average (weights on Inputs). Rank is computed live from the composite.</t>
        </is>
      </c>
    </row>
    <row r="19">
      <c r="A19" t="inlineStr">
        <is>
          <t xml:space="preserve">  Change a weight or a score and the ranking re-sorts on recalculation.</t>
        </is>
      </c>
    </row>
    <row r="20">
      <c r="A20" t="inlineStr"/>
    </row>
    <row r="21">
      <c r="A21" s="3" t="inlineStr">
        <is>
          <t>READ-IN-ONE-LINE</t>
        </is>
      </c>
    </row>
    <row r="22">
      <c r="A22" t="inlineStr">
        <is>
          <t xml:space="preserve">  Anchor on Michigan (Robert) and the NMTC/WasteWerx channels; keep every business-funded fee</t>
        </is>
      </c>
    </row>
    <row r="23">
      <c r="A23" t="inlineStr">
        <is>
          <t xml:space="preserve">  FIXED and NON-CONTINGENT on federal money; treat each deal as a reusable template, not a dependency.</t>
        </is>
      </c>
    </row>
    <row r="24">
      <c r="A24" t="inlineStr"/>
    </row>
    <row r="25">
      <c r="A25" t="inlineStr">
        <is>
          <t>Not legal/accounting/securities advice. Subject to funding source, approved budget, cost principles.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</cols>
  <sheetData>
    <row r="1">
      <c r="A1" s="1" t="inlineStr">
        <is>
          <t>Inputs — scoring weights</t>
        </is>
      </c>
    </row>
    <row r="2">
      <c r="A2" s="2" t="inlineStr">
        <is>
          <t>Edit the yellow weights to re-rank. They should sum to 1.00 (see check).</t>
        </is>
      </c>
    </row>
    <row r="4">
      <c r="A4" s="4" t="inlineStr">
        <is>
          <t>Code</t>
        </is>
      </c>
      <c r="B4" s="4" t="inlineStr">
        <is>
          <t>Criterion</t>
        </is>
      </c>
      <c r="C4" s="4" t="inlineStr">
        <is>
          <t>Weight</t>
        </is>
      </c>
    </row>
    <row r="5">
      <c r="A5" s="5" t="inlineStr">
        <is>
          <t>REV</t>
        </is>
      </c>
      <c r="B5" t="inlineStr">
        <is>
          <t>PublicLogic revenue potential (life of relationship)</t>
        </is>
      </c>
      <c r="C5" s="6" t="n">
        <v>0.2</v>
      </c>
    </row>
    <row r="6">
      <c r="A6" s="5" t="inlineStr">
        <is>
          <t>PROB</t>
        </is>
      </c>
      <c r="B6" t="inlineStr">
        <is>
          <t>Probability / readiness (closeness to signed)</t>
        </is>
      </c>
      <c r="C6" s="6" t="n">
        <v>0.22</v>
      </c>
    </row>
    <row r="7">
      <c r="A7" s="5" t="inlineStr">
        <is>
          <t>RECUR</t>
        </is>
      </c>
      <c r="B7" t="inlineStr">
        <is>
          <t>Recurrence (retainer / channel vs one-time)</t>
        </is>
      </c>
      <c r="C7" s="6" t="n">
        <v>0.16</v>
      </c>
    </row>
    <row r="8">
      <c r="A8" s="5" t="inlineStr">
        <is>
          <t>STRAT</t>
        </is>
      </c>
      <c r="B8" t="inlineStr">
        <is>
          <t>Strategic leverage (reference / channel / reuse)</t>
        </is>
      </c>
      <c r="C8" s="6" t="n">
        <v>0.16</v>
      </c>
    </row>
    <row r="9">
      <c r="A9" s="5" t="inlineStr">
        <is>
          <t>SPEED</t>
        </is>
      </c>
      <c r="B9" t="inlineStr">
        <is>
          <t>Speed to cash</t>
        </is>
      </c>
      <c r="C9" s="6" t="n">
        <v>0.14</v>
      </c>
    </row>
    <row r="10">
      <c r="A10" s="5" t="inlineStr">
        <is>
          <t>RISKADJ</t>
        </is>
      </c>
      <c r="B10" t="inlineStr">
        <is>
          <t>Risk-adjusted quality (clean vs securities/contingent/stall)</t>
        </is>
      </c>
      <c r="C10" s="6" t="n">
        <v>0.12</v>
      </c>
    </row>
    <row r="11">
      <c r="B11" s="3" t="inlineStr">
        <is>
          <t>SUM (must = 1.00)</t>
        </is>
      </c>
      <c r="C11" s="7">
        <f>SUM(C5:C10)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6" customWidth="1" min="2" max="2"/>
    <col width="2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7" customWidth="1" min="11" max="11"/>
  </cols>
  <sheetData>
    <row r="1">
      <c r="A1" s="1" t="inlineStr">
        <is>
          <t>Top 10 Opportunities — scored &amp; ranked (live)</t>
        </is>
      </c>
    </row>
    <row r="2">
      <c r="A2" s="2" t="inlineStr">
        <is>
          <t>Composite = weighted avg of the six 1-5 scores. Rank is live. Edit scores or weights to re-rank.</t>
        </is>
      </c>
    </row>
    <row r="4">
      <c r="A4" s="4" t="inlineStr">
        <is>
          <t>#</t>
        </is>
      </c>
      <c r="B4" s="4" t="inlineStr">
        <is>
          <t>Opportunity</t>
        </is>
      </c>
      <c r="C4" s="4" t="inlineStr">
        <is>
          <t>Relationship / source</t>
        </is>
      </c>
      <c r="D4" s="4" t="inlineStr">
        <is>
          <t>REV</t>
        </is>
      </c>
      <c r="E4" s="4" t="inlineStr">
        <is>
          <t>PROB</t>
        </is>
      </c>
      <c r="F4" s="4" t="inlineStr">
        <is>
          <t>RECUR</t>
        </is>
      </c>
      <c r="G4" s="4" t="inlineStr">
        <is>
          <t>STRAT</t>
        </is>
      </c>
      <c r="H4" s="4" t="inlineStr">
        <is>
          <t>SPEED</t>
        </is>
      </c>
      <c r="I4" s="4" t="inlineStr">
        <is>
          <t>RISKADJ</t>
        </is>
      </c>
      <c r="J4" s="4" t="inlineStr">
        <is>
          <t>Composite</t>
        </is>
      </c>
      <c r="K4" s="4" t="inlineStr">
        <is>
          <t>Rank</t>
        </is>
      </c>
    </row>
    <row r="5">
      <c r="A5" s="8" t="n">
        <v>1</v>
      </c>
      <c r="B5" s="9" t="inlineStr">
        <is>
          <t>Michigan LTC Network — Site 1 (EGLE invite -&gt; build)</t>
        </is>
      </c>
      <c r="C5" s="9" t="inlineStr">
        <is>
          <t>Robert McCall / EM&amp;S</t>
        </is>
      </c>
      <c r="D5" s="10" t="n">
        <v>5</v>
      </c>
      <c r="E5" s="10" t="n">
        <v>4</v>
      </c>
      <c r="F5" s="10" t="n">
        <v>4</v>
      </c>
      <c r="G5" s="10" t="n">
        <v>5</v>
      </c>
      <c r="H5" s="10" t="n">
        <v>4</v>
      </c>
      <c r="I5" s="10" t="n">
        <v>3</v>
      </c>
      <c r="J5" s="7">
        <f>D5*Inputs!$C$5+E5*Inputs!$C$6+F5*Inputs!$C$7+G5*Inputs!$C$8+H5*Inputs!$C$9+I5*Inputs!$C$10</f>
        <v/>
      </c>
      <c r="K5" s="11">
        <f>RANK(J5,$J$5:$J$14,0)</f>
        <v/>
      </c>
    </row>
    <row r="6">
      <c r="A6" s="8" t="n">
        <v>2</v>
      </c>
      <c r="B6" s="9" t="inlineStr">
        <is>
          <t>Michigan LTC Network — Sites 2-4 replication</t>
        </is>
      </c>
      <c r="C6" s="9" t="inlineStr">
        <is>
          <t>Robert McCall / EM&amp;S</t>
        </is>
      </c>
      <c r="D6" s="10" t="n">
        <v>5</v>
      </c>
      <c r="E6" s="10" t="n">
        <v>3</v>
      </c>
      <c r="F6" s="10" t="n">
        <v>5</v>
      </c>
      <c r="G6" s="10" t="n">
        <v>5</v>
      </c>
      <c r="H6" s="10" t="n">
        <v>2</v>
      </c>
      <c r="I6" s="10" t="n">
        <v>3</v>
      </c>
      <c r="J6" s="7">
        <f>D6*Inputs!$C$5+E6*Inputs!$C$6+F6*Inputs!$C$7+G6*Inputs!$C$8+H6*Inputs!$C$9+I6*Inputs!$C$10</f>
        <v/>
      </c>
      <c r="K6" s="11">
        <f>RANK(J6,$J$5:$J$14,0)</f>
        <v/>
      </c>
    </row>
    <row r="7">
      <c r="A7" s="8" t="n">
        <v>3</v>
      </c>
      <c r="B7" s="9" t="inlineStr">
        <is>
          <t>WasteWerx portfolio MSA (governance across client base)</t>
        </is>
      </c>
      <c r="C7" s="9" t="inlineStr">
        <is>
          <t>JT Clark / WasteWerx</t>
        </is>
      </c>
      <c r="D7" s="10" t="n">
        <v>4</v>
      </c>
      <c r="E7" s="10" t="n">
        <v>3</v>
      </c>
      <c r="F7" s="10" t="n">
        <v>5</v>
      </c>
      <c r="G7" s="10" t="n">
        <v>5</v>
      </c>
      <c r="H7" s="10" t="n">
        <v>3</v>
      </c>
      <c r="I7" s="10" t="n">
        <v>4</v>
      </c>
      <c r="J7" s="7">
        <f>D7*Inputs!$C$5+E7*Inputs!$C$6+F7*Inputs!$C$7+G7*Inputs!$C$8+H7*Inputs!$C$9+I7*Inputs!$C$10</f>
        <v/>
      </c>
      <c r="K7" s="11">
        <f>RANK(J7,$J$5:$J$14,0)</f>
        <v/>
      </c>
    </row>
    <row r="8">
      <c r="A8" s="8" t="n">
        <v>4</v>
      </c>
      <c r="B8" s="9" t="inlineStr">
        <is>
          <t>NMTC governance practice via CDE channel (CEI, USBCDC)</t>
        </is>
      </c>
      <c r="C8" s="9" t="inlineStr">
        <is>
          <t>CEI / USBCDC / Lin Thornton</t>
        </is>
      </c>
      <c r="D8" s="10" t="n">
        <v>5</v>
      </c>
      <c r="E8" s="10" t="n">
        <v>3</v>
      </c>
      <c r="F8" s="10" t="n">
        <v>5</v>
      </c>
      <c r="G8" s="10" t="n">
        <v>5</v>
      </c>
      <c r="H8" s="10" t="n">
        <v>2</v>
      </c>
      <c r="I8" s="10" t="n">
        <v>3</v>
      </c>
      <c r="J8" s="7">
        <f>D8*Inputs!$C$5+E8*Inputs!$C$6+F8*Inputs!$C$7+G8*Inputs!$C$8+H8*Inputs!$C$9+I8*Inputs!$C$10</f>
        <v/>
      </c>
      <c r="K8" s="11">
        <f>RANK(J8,$J$5:$J$14,0)</f>
        <v/>
      </c>
    </row>
    <row r="9">
      <c r="A9" s="8" t="n">
        <v>5</v>
      </c>
      <c r="B9" s="9" t="inlineStr">
        <is>
          <t>Carbon Alliance deal-flow channel (ongoing)</t>
        </is>
      </c>
      <c r="C9" s="9" t="inlineStr">
        <is>
          <t>Glen Scharer</t>
        </is>
      </c>
      <c r="D9" s="10" t="n">
        <v>4</v>
      </c>
      <c r="E9" s="10" t="n">
        <v>3</v>
      </c>
      <c r="F9" s="10" t="n">
        <v>4</v>
      </c>
      <c r="G9" s="10" t="n">
        <v>5</v>
      </c>
      <c r="H9" s="10" t="n">
        <v>2</v>
      </c>
      <c r="I9" s="10" t="n">
        <v>4</v>
      </c>
      <c r="J9" s="7">
        <f>D9*Inputs!$C$5+E9*Inputs!$C$6+F9*Inputs!$C$7+G9*Inputs!$C$8+H9*Inputs!$C$9+I9*Inputs!$C$10</f>
        <v/>
      </c>
      <c r="K9" s="11">
        <f>RANK(J9,$J$5:$J$14,0)</f>
        <v/>
      </c>
    </row>
    <row r="10">
      <c r="A10" s="8" t="n">
        <v>6</v>
      </c>
      <c r="B10" s="9" t="inlineStr">
        <is>
          <t>La Porte, IN waste-to-energy (scope -&gt; build)</t>
        </is>
      </c>
      <c r="C10" s="9" t="inlineStr">
        <is>
          <t>Glen Scharer</t>
        </is>
      </c>
      <c r="D10" s="10" t="n">
        <v>3</v>
      </c>
      <c r="E10" s="10" t="n">
        <v>3</v>
      </c>
      <c r="F10" s="10" t="n">
        <v>3</v>
      </c>
      <c r="G10" s="10" t="n">
        <v>4</v>
      </c>
      <c r="H10" s="10" t="n">
        <v>3</v>
      </c>
      <c r="I10" s="10" t="n">
        <v>4</v>
      </c>
      <c r="J10" s="7">
        <f>D10*Inputs!$C$5+E10*Inputs!$C$6+F10*Inputs!$C$7+G10*Inputs!$C$8+H10*Inputs!$C$9+I10*Inputs!$C$10</f>
        <v/>
      </c>
      <c r="K10" s="11">
        <f>RANK(J10,$J$5:$J$14,0)</f>
        <v/>
      </c>
    </row>
    <row r="11">
      <c r="A11" s="8" t="n">
        <v>7</v>
      </c>
      <c r="B11" s="9" t="inlineStr">
        <is>
          <t>AED / Pocomoke NMTC compliance module</t>
        </is>
      </c>
      <c r="C11" s="9" t="inlineStr">
        <is>
          <t>Brian Kuhn / Joe Loud</t>
        </is>
      </c>
      <c r="D11" s="10" t="n">
        <v>4</v>
      </c>
      <c r="E11" s="10" t="n">
        <v>2</v>
      </c>
      <c r="F11" s="10" t="n">
        <v>4</v>
      </c>
      <c r="G11" s="10" t="n">
        <v>3</v>
      </c>
      <c r="H11" s="10" t="n">
        <v>2</v>
      </c>
      <c r="I11" s="10" t="n">
        <v>3</v>
      </c>
      <c r="J11" s="7">
        <f>D11*Inputs!$C$5+E11*Inputs!$C$6+F11*Inputs!$C$7+G11*Inputs!$C$8+H11*Inputs!$C$9+I11*Inputs!$C$10</f>
        <v/>
      </c>
      <c r="K11" s="11">
        <f>RANK(J11,$J$5:$J$14,0)</f>
        <v/>
      </c>
    </row>
    <row r="12">
      <c r="A12" s="8" t="n">
        <v>8</v>
      </c>
      <c r="B12" s="9" t="inlineStr">
        <is>
          <t>City of Flint coordination engagement (Phase 1 -&gt; retainer)</t>
        </is>
      </c>
      <c r="C12" s="9" t="inlineStr">
        <is>
          <t>via Robert McCall</t>
        </is>
      </c>
      <c r="D12" s="10" t="n">
        <v>3</v>
      </c>
      <c r="E12" s="10" t="n">
        <v>3</v>
      </c>
      <c r="F12" s="10" t="n">
        <v>4</v>
      </c>
      <c r="G12" s="10" t="n">
        <v>3</v>
      </c>
      <c r="H12" s="10" t="n">
        <v>3</v>
      </c>
      <c r="I12" s="10" t="n">
        <v>3</v>
      </c>
      <c r="J12" s="7">
        <f>D12*Inputs!$C$5+E12*Inputs!$C$6+F12*Inputs!$C$7+G12*Inputs!$C$8+H12*Inputs!$C$9+I12*Inputs!$C$10</f>
        <v/>
      </c>
      <c r="K12" s="11">
        <f>RANK(J12,$J$5:$J$14,0)</f>
        <v/>
      </c>
    </row>
    <row r="13">
      <c r="A13" s="8" t="n">
        <v>9</v>
      </c>
      <c r="B13" s="9" t="inlineStr">
        <is>
          <t>CivicPlus channel partnership (govtech)</t>
        </is>
      </c>
      <c r="C13" s="9" t="inlineStr">
        <is>
          <t>CivicPlus</t>
        </is>
      </c>
      <c r="D13" s="10" t="n">
        <v>4</v>
      </c>
      <c r="E13" s="10" t="n">
        <v>2</v>
      </c>
      <c r="F13" s="10" t="n">
        <v>5</v>
      </c>
      <c r="G13" s="10" t="n">
        <v>4</v>
      </c>
      <c r="H13" s="10" t="n">
        <v>1</v>
      </c>
      <c r="I13" s="10" t="n">
        <v>4</v>
      </c>
      <c r="J13" s="7">
        <f>D13*Inputs!$C$5+E13*Inputs!$C$6+F13*Inputs!$C$7+G13*Inputs!$C$8+H13*Inputs!$C$9+I13*Inputs!$C$10</f>
        <v/>
      </c>
      <c r="K13" s="11">
        <f>RANK(J13,$J$5:$J$14,0)</f>
        <v/>
      </c>
    </row>
    <row r="14">
      <c r="A14" s="8" t="n">
        <v>10</v>
      </c>
      <c r="B14" s="9" t="inlineStr">
        <is>
          <t>Acadia Capital referral channel</t>
        </is>
      </c>
      <c r="C14" s="9" t="inlineStr">
        <is>
          <t>Brien Walton / Acadia</t>
        </is>
      </c>
      <c r="D14" s="10" t="n">
        <v>2</v>
      </c>
      <c r="E14" s="10" t="n">
        <v>3</v>
      </c>
      <c r="F14" s="10" t="n">
        <v>3</v>
      </c>
      <c r="G14" s="10" t="n">
        <v>4</v>
      </c>
      <c r="H14" s="10" t="n">
        <v>3</v>
      </c>
      <c r="I14" s="10" t="n">
        <v>5</v>
      </c>
      <c r="J14" s="7">
        <f>D14*Inputs!$C$5+E14*Inputs!$C$6+F14*Inputs!$C$7+G14*Inputs!$C$8+H14*Inputs!$C$9+I14*Inputs!$C$10</f>
        <v/>
      </c>
      <c r="K14" s="11">
        <f>RANK(J14,$J$5:$J$14,0)</f>
        <v/>
      </c>
    </row>
    <row r="16">
      <c r="B16" s="2" t="inlineStr">
        <is>
          <t>Tip: sort by Rank (col K) to see the priority order. Highest composite = work it first.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5" customWidth="1" min="4" max="4"/>
    <col width="60" customWidth="1" min="5" max="5"/>
  </cols>
  <sheetData>
    <row r="1">
      <c r="A1" s="1" t="inlineStr">
        <is>
          <t>PublicLogic fee potential per opportunity (illustrative)</t>
        </is>
      </c>
    </row>
    <row r="2">
      <c r="A2" s="2" t="inlineStr">
        <is>
          <t>Near-12-month vs lifetime PublicLogic revenue. Estimates from PublicLogic's own deal docs — not quotes. Live totals.</t>
        </is>
      </c>
    </row>
    <row r="4">
      <c r="A4" s="4" t="inlineStr">
        <is>
          <t>#</t>
        </is>
      </c>
      <c r="B4" s="4" t="inlineStr">
        <is>
          <t>Opportunity</t>
        </is>
      </c>
      <c r="C4" s="4" t="inlineStr">
        <is>
          <t>Near 12-mo ($)</t>
        </is>
      </c>
      <c r="D4" s="4" t="inlineStr">
        <is>
          <t>Lifetime ($)</t>
        </is>
      </c>
      <c r="E4" s="4" t="inlineStr">
        <is>
          <t>Basis / fee structure</t>
        </is>
      </c>
    </row>
    <row r="5">
      <c r="A5" s="8" t="n">
        <v>1</v>
      </c>
      <c r="B5" s="9" t="inlineStr">
        <is>
          <t>Michigan LTC Network — Site 1 (EGLE invite -&gt; build)</t>
        </is>
      </c>
      <c r="C5" s="12" t="n">
        <v>200000</v>
      </c>
      <c r="D5" s="12" t="n">
        <v>775000</v>
      </c>
      <c r="E5" s="9" t="inlineStr">
        <is>
          <t>$175K capitalized build + ~$10K/mo runtime + grant-stacking; 5-yr single-site ~$775K</t>
        </is>
      </c>
    </row>
    <row r="6">
      <c r="A6" s="8" t="n">
        <v>2</v>
      </c>
      <c r="B6" s="9" t="inlineStr">
        <is>
          <t>Michigan LTC Network — Sites 2-4 replication</t>
        </is>
      </c>
      <c r="C6" s="12" t="n">
        <v>60000</v>
      </c>
      <c r="D6" s="12" t="n">
        <v>2250000</v>
      </c>
      <c r="E6" s="9" t="inlineStr">
        <is>
          <t>Sites 2-4 @ $75-100K build + $10K/mo each; network lifetime across 3 sites</t>
        </is>
      </c>
    </row>
    <row r="7">
      <c r="A7" s="8" t="n">
        <v>3</v>
      </c>
      <c r="B7" s="9" t="inlineStr">
        <is>
          <t>WasteWerx portfolio MSA (governance across client base)</t>
        </is>
      </c>
      <c r="C7" s="12" t="n">
        <v>40000</v>
      </c>
      <c r="D7" s="12" t="n">
        <v>1500000</v>
      </c>
      <c r="E7" s="9" t="inlineStr">
        <is>
          <t>Portfolio MSA: per-client governance + runtime across WasteWerx deployments</t>
        </is>
      </c>
    </row>
    <row r="8">
      <c r="A8" s="8" t="n">
        <v>4</v>
      </c>
      <c r="B8" s="9" t="inlineStr">
        <is>
          <t>NMTC governance practice via CDE channel (CEI, USBCDC)</t>
        </is>
      </c>
      <c r="C8" s="12" t="n">
        <v>25000</v>
      </c>
      <c r="D8" s="12" t="n">
        <v>2000000</v>
      </c>
      <c r="E8" s="9" t="inlineStr">
        <is>
          <t>Productized NMTC 7-yr compliance module repeated across CDE-financed deals</t>
        </is>
      </c>
    </row>
    <row r="9">
      <c r="A9" s="8" t="n">
        <v>5</v>
      </c>
      <c r="B9" s="9" t="inlineStr">
        <is>
          <t>Carbon Alliance deal-flow channel (ongoing)</t>
        </is>
      </c>
      <c r="C9" s="12" t="n">
        <v>20000</v>
      </c>
      <c r="D9" s="12" t="n">
        <v>1000000</v>
      </c>
      <c r="E9" s="9" t="inlineStr">
        <is>
          <t>Glen as recurring connector: scoping retainers + builds across his pipeline</t>
        </is>
      </c>
    </row>
    <row r="10">
      <c r="A10" s="8" t="n">
        <v>6</v>
      </c>
      <c r="B10" s="9" t="inlineStr">
        <is>
          <t>La Porte, IN waste-to-energy (scope -&gt; build)</t>
        </is>
      </c>
      <c r="C10" s="12" t="n">
        <v>30000</v>
      </c>
      <c r="D10" s="12" t="n">
        <v>400000</v>
      </c>
      <c r="E10" s="9" t="inlineStr">
        <is>
          <t>La Porte scope -&gt; grant study -&gt; build + runtime</t>
        </is>
      </c>
    </row>
    <row r="11">
      <c r="A11" s="8" t="n">
        <v>7</v>
      </c>
      <c r="B11" s="9" t="inlineStr">
        <is>
          <t>AED / Pocomoke NMTC compliance module</t>
        </is>
      </c>
      <c r="C11" s="12" t="n">
        <v>35000</v>
      </c>
      <c r="D11" s="12" t="n">
        <v>300000</v>
      </c>
      <c r="E11" s="9" t="inlineStr">
        <is>
          <t>AED: $5K setup + $5K/mo x24 + $18K/yr yrs3-7 + underwriting (if reactivated)</t>
        </is>
      </c>
    </row>
    <row r="12">
      <c r="A12" s="8" t="n">
        <v>8</v>
      </c>
      <c r="B12" s="9" t="inlineStr">
        <is>
          <t>City of Flint coordination engagement (Phase 1 -&gt; retainer)</t>
        </is>
      </c>
      <c r="C12" s="12" t="n">
        <v>25000</v>
      </c>
      <c r="D12" s="12" t="n">
        <v>250000</v>
      </c>
      <c r="E12" s="9" t="inlineStr">
        <is>
          <t>Flint Phase 1 $18-25K + $6.5-15K/mo retainer</t>
        </is>
      </c>
    </row>
    <row r="13">
      <c r="A13" s="8" t="n">
        <v>9</v>
      </c>
      <c r="B13" s="9" t="inlineStr">
        <is>
          <t>CivicPlus channel partnership (govtech)</t>
        </is>
      </c>
      <c r="C13" s="12" t="n">
        <v>10000</v>
      </c>
      <c r="D13" s="12" t="n">
        <v>1500000</v>
      </c>
      <c r="E13" s="9" t="inlineStr">
        <is>
          <t>CivicPlus: per-client referral economics at scale (early)</t>
        </is>
      </c>
    </row>
    <row r="14">
      <c r="A14" s="8" t="n">
        <v>10</v>
      </c>
      <c r="B14" s="9" t="inlineStr">
        <is>
          <t>Acadia Capital referral channel</t>
        </is>
      </c>
      <c r="C14" s="12" t="n">
        <v>0</v>
      </c>
      <c r="D14" s="12" t="n">
        <v>500000</v>
      </c>
      <c r="E14" s="9" t="inlineStr">
        <is>
          <t>Indirect: referred capital-stack deals via Acadia validation</t>
        </is>
      </c>
    </row>
    <row r="15">
      <c r="B15" s="3" t="inlineStr">
        <is>
          <t>TOTAL (illustrative pipeline potential)</t>
        </is>
      </c>
      <c r="C15" s="13">
        <f>SUM(C5:C14)</f>
        <v/>
      </c>
      <c r="D15" s="13">
        <f>SUM(D5:D14)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  <col width="38" customWidth="1" min="4" max="4"/>
    <col width="46" customWidth="1" min="5" max="5"/>
  </cols>
  <sheetData>
    <row r="1">
      <c r="A1" s="1" t="inlineStr">
        <is>
          <t>Action plan — the move, the route, the flag</t>
        </is>
      </c>
    </row>
    <row r="2">
      <c r="A2" s="2" t="inlineStr">
        <is>
          <t>How to convert each opportunity. Keep every business-funded fee fixed &amp; non-contingent on federal money.</t>
        </is>
      </c>
    </row>
    <row r="4">
      <c r="A4" s="4" t="inlineStr">
        <is>
          <t>#</t>
        </is>
      </c>
      <c r="B4" s="4" t="inlineStr">
        <is>
          <t>Opportunity</t>
        </is>
      </c>
      <c r="C4" s="4" t="inlineStr">
        <is>
          <t>Cost-treatment route</t>
        </is>
      </c>
      <c r="D4" s="4" t="inlineStr">
        <is>
          <t>Key flag</t>
        </is>
      </c>
      <c r="E4" s="4" t="inlineStr">
        <is>
          <t>Next move (owner)</t>
        </is>
      </c>
    </row>
    <row r="5">
      <c r="A5" s="8" t="n">
        <v>1</v>
      </c>
      <c r="B5" s="9" t="inlineStr">
        <is>
          <t>Michigan LTC Network — Site 1 (EGLE invite -&gt; build)</t>
        </is>
      </c>
      <c r="C5" s="9" t="inlineStr">
        <is>
          <t>Capitalized dev soft cost in project budget</t>
        </is>
      </c>
      <c r="D5" s="9" t="inlineStr">
        <is>
          <t>Securities lane; 5% grant-stacking must be non-contingent on federal</t>
        </is>
      </c>
      <c r="E5" s="9" t="inlineStr">
        <is>
          <t>Chase EGLE 'Encouraged to Apply' (~6/1); if invited, lead 7/7 full apps</t>
        </is>
      </c>
    </row>
    <row r="6">
      <c r="A6" s="8" t="n">
        <v>2</v>
      </c>
      <c r="B6" s="9" t="inlineStr">
        <is>
          <t>Michigan LTC Network — Sites 2-4 replication</t>
        </is>
      </c>
      <c r="C6" s="9" t="inlineStr">
        <is>
          <t>Same; per-site capitalized buildout</t>
        </is>
      </c>
      <c r="D6" s="9" t="inlineStr">
        <is>
          <t>Replication depends on Site 1 closing first</t>
        </is>
      </c>
      <c r="E6" s="9" t="inlineStr">
        <is>
          <t>Lock Site-1 close; template the buildout for Sites 2-4</t>
        </is>
      </c>
    </row>
    <row r="7">
      <c r="A7" s="8" t="n">
        <v>3</v>
      </c>
      <c r="B7" s="9" t="inlineStr">
        <is>
          <t>WasteWerx portfolio MSA (governance across client base)</t>
        </is>
      </c>
      <c r="C7" s="9" t="inlineStr">
        <is>
          <t>Per-client governance + runtime</t>
        </is>
      </c>
      <c r="D7" s="9" t="inlineStr">
        <is>
          <t>Don't become a captive sub of one OEM</t>
        </is>
      </c>
      <c r="E7" s="9" t="inlineStr">
        <is>
          <t>Convert to a portfolio MSA / preferred-partner agreement (JT Clark)</t>
        </is>
      </c>
    </row>
    <row r="8">
      <c r="A8" s="8" t="n">
        <v>4</v>
      </c>
      <c r="B8" s="9" t="inlineStr">
        <is>
          <t>NMTC governance practice via CDE channel (CEI, USBCDC)</t>
        </is>
      </c>
      <c r="C8" s="9" t="inlineStr">
        <is>
          <t>NMTC soft-costs line of each deal</t>
        </is>
      </c>
      <c r="D8" s="9" t="inlineStr">
        <is>
          <t>Keep underwriting fixed/non-contingent for federal pieces</t>
        </is>
      </c>
      <c r="E8" s="9" t="inlineStr">
        <is>
          <t>Open CEI (Rob Levin) + USBCDC (via Lin Thornton); productize the module</t>
        </is>
      </c>
    </row>
    <row r="9">
      <c r="A9" s="8" t="n">
        <v>5</v>
      </c>
      <c r="B9" s="9" t="inlineStr">
        <is>
          <t>Carbon Alliance deal-flow channel (ongoing)</t>
        </is>
      </c>
      <c r="C9" s="9" t="inlineStr">
        <is>
          <t>Scoping retainer + per-deal soft cost</t>
        </is>
      </c>
      <c r="D9" s="9" t="inlineStr">
        <is>
          <t>Glen's deals are early/funding-contingent — front-load paid scoping</t>
        </is>
      </c>
      <c r="E9" s="9" t="inlineStr">
        <is>
          <t>Deliver capabilities workbook + La Porte scope; lock WasteWerx intro</t>
        </is>
      </c>
    </row>
    <row r="10">
      <c r="A10" s="8" t="n">
        <v>6</v>
      </c>
      <c r="B10" s="9" t="inlineStr">
        <is>
          <t>La Porte, IN waste-to-energy (scope -&gt; build)</t>
        </is>
      </c>
      <c r="C10" s="9" t="inlineStr">
        <is>
          <t>Scope -&gt; grant study -&gt; build</t>
        </is>
      </c>
      <c r="D10" s="9" t="inlineStr">
        <is>
          <t>Funding-contingent; keep PL fee non-contingent</t>
        </is>
      </c>
      <c r="E10" s="9" t="inlineStr">
        <is>
          <t>Send NDA + one-page scope; define grant-study deliverable</t>
        </is>
      </c>
    </row>
    <row r="11">
      <c r="A11" s="8" t="n">
        <v>7</v>
      </c>
      <c r="B11" s="9" t="inlineStr">
        <is>
          <t>AED / Pocomoke NMTC compliance module</t>
        </is>
      </c>
      <c r="C11" s="9" t="inlineStr">
        <is>
          <t>Project cost in $806,502 soft-costs line</t>
        </is>
      </c>
      <c r="D11" s="9" t="inlineStr">
        <is>
          <t>STALLED on unresponsive sponsor; reconcile job counts</t>
        </is>
      </c>
      <c r="E11" s="9" t="inlineStr">
        <is>
          <t>Reactivate via Loud OR pursue biochar thesis through Glen's channel</t>
        </is>
      </c>
    </row>
    <row r="12">
      <c r="A12" s="8" t="n">
        <v>8</v>
      </c>
      <c r="B12" s="9" t="inlineStr">
        <is>
          <t>City of Flint coordination engagement (Phase 1 -&gt; retainer)</t>
        </is>
      </c>
      <c r="C12" s="9" t="inlineStr">
        <is>
          <t>Soft cost in capital stack at close</t>
        </is>
      </c>
      <c r="D12" s="9" t="inlineStr">
        <is>
          <t>Don't promise grant outcomes; stay out of PuddleJumper weeds</t>
        </is>
      </c>
      <c r="E12" s="9" t="inlineStr">
        <is>
          <t>Get the scoping call with the City's funding-stack owner</t>
        </is>
      </c>
    </row>
    <row r="13">
      <c r="A13" s="8" t="n">
        <v>9</v>
      </c>
      <c r="B13" s="9" t="inlineStr">
        <is>
          <t>CivicPlus channel partnership (govtech)</t>
        </is>
      </c>
      <c r="C13" s="9" t="inlineStr">
        <is>
          <t>Partner/referral economics</t>
        </is>
      </c>
      <c r="D13" s="9" t="inlineStr">
        <is>
          <t>Early; define integration + referral split</t>
        </is>
      </c>
      <c r="E13" s="9" t="inlineStr">
        <is>
          <t>Define the CivicPlus partnership model and pilot a joint client</t>
        </is>
      </c>
    </row>
    <row r="14">
      <c r="A14" s="8" t="n">
        <v>10</v>
      </c>
      <c r="B14" s="9" t="inlineStr">
        <is>
          <t>Acadia Capital referral channel</t>
        </is>
      </c>
      <c r="C14" s="9" t="inlineStr">
        <is>
          <t>n/a (referral)</t>
        </is>
      </c>
      <c r="D14" s="9" t="inlineStr">
        <is>
          <t>Pure leverage; protect PL independence</t>
        </is>
      </c>
      <c r="E14" s="9" t="inlineStr">
        <is>
          <t>Keep Walton as validator; ask for warm intros to other deals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2026-06-04T07:50:31Z</dcterms:created>
  <dcterms:modified xsi:type="dcterms:W3CDTF">2026-06-04T07:50:31Z</dcterms:modified>
</cp:coreProperties>
</file>