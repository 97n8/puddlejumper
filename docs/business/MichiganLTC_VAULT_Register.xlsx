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UL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2D5F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D5F"/>
      </patternFill>
    </fill>
    <fill>
      <patternFill patternType="solid">
        <fgColor rgb="00F4C7C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  <xf numFmtId="9" fontId="5" fillId="6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6" customWidth="1" min="3" max="3"/>
    <col width="10" customWidth="1" min="4" max="4"/>
    <col width="12" customWidth="1" min="5" max="5"/>
    <col width="24" customWidth="1" min="6" max="6"/>
    <col width="46" customWidth="1" min="7" max="7"/>
    <col width="5" customWidth="1" min="8" max="8"/>
    <col width="6" customWidth="1" min="9" max="9"/>
  </cols>
  <sheetData>
    <row r="1">
      <c r="A1" s="1" t="inlineStr">
        <is>
          <t>Michigan LTC Network — VAULT Governance Register (live)</t>
        </is>
      </c>
    </row>
    <row r="2">
      <c r="A2" s="2" t="inlineStr">
        <is>
          <t>V/A/U/L/T findings. Update yellow Status (Gap / In progress / Closed); Governance Readiness recalcs. Date 2026-06-03. Not legal/financial advice.</t>
        </is>
      </c>
    </row>
    <row r="4">
      <c r="A4" s="3" t="inlineStr">
        <is>
          <t>ID</t>
        </is>
      </c>
      <c r="B4" s="3" t="inlineStr">
        <is>
          <t>Pillar</t>
        </is>
      </c>
      <c r="C4" s="3" t="inlineStr">
        <is>
          <t>Finding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Owner</t>
        </is>
      </c>
      <c r="G4" s="3" t="inlineStr">
        <is>
          <t>Remediation / evidence to close</t>
        </is>
      </c>
      <c r="H4" s="2" t="inlineStr">
        <is>
          <t>wt</t>
        </is>
      </c>
      <c r="I4" s="2" t="inlineStr">
        <is>
          <t>cmpl</t>
        </is>
      </c>
    </row>
    <row r="5">
      <c r="A5" s="4" t="inlineStr">
        <is>
          <t>V1</t>
        </is>
      </c>
      <c r="B5" s="4" t="inlineStr">
        <is>
          <t>V</t>
        </is>
      </c>
      <c r="C5" s="5" t="inlineStr">
        <is>
          <t>Headline EBITDA depends on ~$20.4M unsecured credits + ~$4.8M understated opex</t>
        </is>
      </c>
      <c r="D5" s="6" t="inlineStr">
        <is>
          <t>Critical</t>
        </is>
      </c>
      <c r="E5" s="7" t="inlineStr">
        <is>
          <t>In progress</t>
        </is>
      </c>
      <c r="F5" s="5" t="inlineStr">
        <is>
          <t>PublicLogic/Glen/WasteWerx</t>
        </is>
      </c>
      <c r="G5" s="5" t="inlineStr">
        <is>
          <t>Anchor deck on base; register credits; confirm opex actuals</t>
        </is>
      </c>
      <c r="H5" s="8">
        <f>IF(D5="Critical",3,IF(D5="High",2,1))</f>
        <v/>
      </c>
      <c r="I5" s="9">
        <f>IF(E5="Closed",1,IF(E5="In progress",0.5,0))</f>
        <v/>
      </c>
    </row>
    <row r="6">
      <c r="A6" s="4" t="inlineStr">
        <is>
          <t>V2</t>
        </is>
      </c>
      <c r="B6" s="4" t="inlineStr">
        <is>
          <t>V</t>
        </is>
      </c>
      <c r="C6" s="5" t="inlineStr">
        <is>
          <t>Single source of truth (retire 3-version proforma / EM&amp;S numbers)</t>
        </is>
      </c>
      <c r="D6" s="6" t="inlineStr">
        <is>
          <t>Critical</t>
        </is>
      </c>
      <c r="E6" s="7" t="inlineStr">
        <is>
          <t>In progress</t>
        </is>
      </c>
      <c r="F6" s="5" t="inlineStr">
        <is>
          <t>PublicLogic</t>
        </is>
      </c>
      <c r="G6" s="5" t="inlineStr">
        <is>
          <t>FINAL model is SSOT; reconcile all docs to it</t>
        </is>
      </c>
      <c r="H6" s="8">
        <f>IF(D6="Critical",3,IF(D6="High",2,1))</f>
        <v/>
      </c>
      <c r="I6" s="9">
        <f>IF(E6="Closed",1,IF(E6="In progress",0.5,0))</f>
        <v/>
      </c>
    </row>
    <row r="7">
      <c r="A7" s="4" t="inlineStr">
        <is>
          <t>V3</t>
        </is>
      </c>
      <c r="B7" s="4" t="inlineStr">
        <is>
          <t>V</t>
        </is>
      </c>
      <c r="C7" s="5" t="inlineStr">
        <is>
          <t>Offtake (fuel/SAF/carbon black) unverified</t>
        </is>
      </c>
      <c r="D7" s="10" t="inlineStr">
        <is>
          <t>High</t>
        </is>
      </c>
      <c r="E7" s="7" t="inlineStr">
        <is>
          <t>Gap</t>
        </is>
      </c>
      <c r="F7" s="5" t="inlineStr">
        <is>
          <t>Robert/Glen</t>
        </is>
      </c>
      <c r="G7" s="5" t="inlineStr">
        <is>
          <t>Execute offtake: buyers, volumes, price, term</t>
        </is>
      </c>
      <c r="H7" s="8">
        <f>IF(D7="Critical",3,IF(D7="High",2,1))</f>
        <v/>
      </c>
      <c r="I7" s="9">
        <f>IF(E7="Closed",1,IF(E7="In progress",0.5,0))</f>
        <v/>
      </c>
    </row>
    <row r="8">
      <c r="A8" s="4" t="inlineStr">
        <is>
          <t>V4</t>
        </is>
      </c>
      <c r="B8" s="4" t="inlineStr">
        <is>
          <t>V</t>
        </is>
      </c>
      <c r="C8" s="5" t="inlineStr">
        <is>
          <t>Fuel build-up gap ($6.75M raw oil -&gt; $15.15M upgraded)</t>
        </is>
      </c>
      <c r="D8" s="10" t="inlineStr">
        <is>
          <t>High</t>
        </is>
      </c>
      <c r="E8" s="7" t="inlineStr">
        <is>
          <t>Gap</t>
        </is>
      </c>
      <c r="F8" s="5" t="inlineStr">
        <is>
          <t>Glen/WasteWerx</t>
        </is>
      </c>
      <c r="G8" s="5" t="inlineStr">
        <is>
          <t>Document distillation/SAF basis + offtake</t>
        </is>
      </c>
      <c r="H8" s="8">
        <f>IF(D8="Critical",3,IF(D8="High",2,1))</f>
        <v/>
      </c>
      <c r="I8" s="9">
        <f>IF(E8="Closed",1,IF(E8="In progress",0.5,0))</f>
        <v/>
      </c>
    </row>
    <row r="9">
      <c r="A9" s="4" t="inlineStr">
        <is>
          <t>V5</t>
        </is>
      </c>
      <c r="B9" s="4" t="inlineStr">
        <is>
          <t>V</t>
        </is>
      </c>
      <c r="C9" s="5" t="inlineStr">
        <is>
          <t>Labor is worst-case; MI rates/cross-training/benefits pending</t>
        </is>
      </c>
      <c r="D9" s="7" t="inlineStr">
        <is>
          <t>Medium</t>
        </is>
      </c>
      <c r="E9" s="7" t="inlineStr">
        <is>
          <t>In progress</t>
        </is>
      </c>
      <c r="F9" s="5" t="inlineStr">
        <is>
          <t>Robert/WasteWerx</t>
        </is>
      </c>
      <c r="G9" s="5" t="inlineStr">
        <is>
          <t>Set xtrain + mi_adj; provide benefits actuals</t>
        </is>
      </c>
      <c r="H9" s="8">
        <f>IF(D9="Critical",3,IF(D9="High",2,1))</f>
        <v/>
      </c>
      <c r="I9" s="9">
        <f>IF(E9="Closed",1,IF(E9="In progress",0.5,0))</f>
        <v/>
      </c>
    </row>
    <row r="10">
      <c r="A10" s="4" t="inlineStr">
        <is>
          <t>V6</t>
        </is>
      </c>
      <c r="B10" s="4" t="inlineStr">
        <is>
          <t>V</t>
        </is>
      </c>
      <c r="C10" s="5" t="inlineStr">
        <is>
          <t>Carbon black excluded from signed model (real product)</t>
        </is>
      </c>
      <c r="D10" s="7" t="inlineStr">
        <is>
          <t>Medium</t>
        </is>
      </c>
      <c r="E10" s="7" t="inlineStr">
        <is>
          <t>Gap</t>
        </is>
      </c>
      <c r="F10" s="5" t="inlineStr">
        <is>
          <t>Robert</t>
        </is>
      </c>
      <c r="G10" s="5" t="inlineStr">
        <is>
          <t>Confirm price + offtake; include in base</t>
        </is>
      </c>
      <c r="H10" s="8">
        <f>IF(D10="Critical",3,IF(D10="High",2,1))</f>
        <v/>
      </c>
      <c r="I10" s="9">
        <f>IF(E10="Closed",1,IF(E10="In progress",0.5,0))</f>
        <v/>
      </c>
    </row>
    <row r="11">
      <c r="A11" s="4" t="inlineStr">
        <is>
          <t>V7</t>
        </is>
      </c>
      <c r="B11" s="4" t="inlineStr">
        <is>
          <t>V</t>
        </is>
      </c>
      <c r="C11" s="5" t="inlineStr">
        <is>
          <t>Use-of-funds ~$1M over the $15M/site raise</t>
        </is>
      </c>
      <c r="D11" s="7" t="inlineStr">
        <is>
          <t>Medium</t>
        </is>
      </c>
      <c r="E11" s="7" t="inlineStr">
        <is>
          <t>Gap</t>
        </is>
      </c>
      <c r="F11" s="5" t="inlineStr">
        <is>
          <t>Robert</t>
        </is>
      </c>
      <c r="G11" s="5" t="inlineStr">
        <is>
          <t>Reconcile line items to the raise</t>
        </is>
      </c>
      <c r="H11" s="8">
        <f>IF(D11="Critical",3,IF(D11="High",2,1))</f>
        <v/>
      </c>
      <c r="I11" s="9">
        <f>IF(E11="Closed",1,IF(E11="In progress",0.5,0))</f>
        <v/>
      </c>
    </row>
    <row r="12">
      <c r="A12" s="4" t="inlineStr">
        <is>
          <t>A1</t>
        </is>
      </c>
      <c r="B12" s="4" t="inlineStr">
        <is>
          <t>A</t>
        </is>
      </c>
      <c r="C12" s="5" t="inlineStr">
        <is>
          <t>Parent holdco + SPVs not papered (operating agreements/resolutions)</t>
        </is>
      </c>
      <c r="D12" s="6" t="inlineStr">
        <is>
          <t>Critical</t>
        </is>
      </c>
      <c r="E12" s="7" t="inlineStr">
        <is>
          <t>Gap</t>
        </is>
      </c>
      <c r="F12" s="5" t="inlineStr">
        <is>
          <t>Counsel/Robert</t>
        </is>
      </c>
      <c r="G12" s="5" t="inlineStr">
        <is>
          <t>Form + paper entities; board resolutions</t>
        </is>
      </c>
      <c r="H12" s="8">
        <f>IF(D12="Critical",3,IF(D12="High",2,1))</f>
        <v/>
      </c>
      <c r="I12" s="9">
        <f>IF(E12="Closed",1,IF(E12="In progress",0.5,0))</f>
        <v/>
      </c>
    </row>
    <row r="13">
      <c r="A13" s="4" t="inlineStr">
        <is>
          <t>A2</t>
        </is>
      </c>
      <c r="B13" s="4" t="inlineStr">
        <is>
          <t>A</t>
        </is>
      </c>
      <c r="C13" s="5" t="inlineStr">
        <is>
          <t>LARA / foreign-entity registration unconfirmed (gates EGLE filings)</t>
        </is>
      </c>
      <c r="D13" s="6" t="inlineStr">
        <is>
          <t>Critical</t>
        </is>
      </c>
      <c r="E13" s="7" t="inlineStr">
        <is>
          <t>Gap</t>
        </is>
      </c>
      <c r="F13" s="5" t="inlineStr">
        <is>
          <t>Robert</t>
        </is>
      </c>
      <c r="G13" s="5" t="inlineStr">
        <is>
          <t>MiBusiness registry lookup; register</t>
        </is>
      </c>
      <c r="H13" s="8">
        <f>IF(D13="Critical",3,IF(D13="High",2,1))</f>
        <v/>
      </c>
      <c r="I13" s="9">
        <f>IF(E13="Closed",1,IF(E13="In progress",0.5,0))</f>
        <v/>
      </c>
    </row>
    <row r="14">
      <c r="A14" s="4" t="inlineStr">
        <is>
          <t>A3</t>
        </is>
      </c>
      <c r="B14" s="4" t="inlineStr">
        <is>
          <t>A</t>
        </is>
      </c>
      <c r="C14" s="5" t="inlineStr">
        <is>
          <t>Site SPVs (E.M.&amp;S.-FLINT) formation/renaming</t>
        </is>
      </c>
      <c r="D14" s="10" t="inlineStr">
        <is>
          <t>High</t>
        </is>
      </c>
      <c r="E14" s="7" t="inlineStr">
        <is>
          <t>Gap</t>
        </is>
      </c>
      <c r="F14" s="5" t="inlineStr">
        <is>
          <t>Counsel/Robert</t>
        </is>
      </c>
      <c r="G14" s="5" t="inlineStr">
        <is>
          <t>Form/rename under Michigan LTC</t>
        </is>
      </c>
      <c r="H14" s="8">
        <f>IF(D14="Critical",3,IF(D14="High",2,1))</f>
        <v/>
      </c>
      <c r="I14" s="9">
        <f>IF(E14="Closed",1,IF(E14="In progress",0.5,0))</f>
        <v/>
      </c>
    </row>
    <row r="15">
      <c r="A15" s="4" t="inlineStr">
        <is>
          <t>A4</t>
        </is>
      </c>
      <c r="B15" s="4" t="inlineStr">
        <is>
          <t>A</t>
        </is>
      </c>
      <c r="C15" s="5" t="inlineStr">
        <is>
          <t>Decision authority undefined (signing, investor terms)</t>
        </is>
      </c>
      <c r="D15" s="10" t="inlineStr">
        <is>
          <t>High</t>
        </is>
      </c>
      <c r="E15" s="7" t="inlineStr">
        <is>
          <t>Gap</t>
        </is>
      </c>
      <c r="F15" s="5" t="inlineStr">
        <is>
          <t>Robert</t>
        </is>
      </c>
      <c r="G15" s="5" t="inlineStr">
        <is>
          <t>Authority matrix; delineate McCall multi-org roles</t>
        </is>
      </c>
      <c r="H15" s="8">
        <f>IF(D15="Critical",3,IF(D15="High",2,1))</f>
        <v/>
      </c>
      <c r="I15" s="9">
        <f>IF(E15="Closed",1,IF(E15="In progress",0.5,0))</f>
        <v/>
      </c>
    </row>
    <row r="16">
      <c r="A16" s="4" t="inlineStr">
        <is>
          <t>A5</t>
        </is>
      </c>
      <c r="B16" s="4" t="inlineStr">
        <is>
          <t>A</t>
        </is>
      </c>
      <c r="C16" s="5" t="inlineStr">
        <is>
          <t>Securities offering: PL not placement agent; fee fixed/non-contingent</t>
        </is>
      </c>
      <c r="D16" s="6" t="inlineStr">
        <is>
          <t>Critical</t>
        </is>
      </c>
      <c r="E16" s="7" t="inlineStr">
        <is>
          <t>Gap</t>
        </is>
      </c>
      <c r="F16" s="5" t="inlineStr">
        <is>
          <t>Counsel/PublicLogic</t>
        </is>
      </c>
      <c r="G16" s="5" t="inlineStr">
        <is>
          <t>Engage securities counsel; structure raise; align PL engagement letter</t>
        </is>
      </c>
      <c r="H16" s="8">
        <f>IF(D16="Critical",3,IF(D16="High",2,1))</f>
        <v/>
      </c>
      <c r="I16" s="9">
        <f>IF(E16="Closed",1,IF(E16="In progress",0.5,0))</f>
        <v/>
      </c>
    </row>
    <row r="17">
      <c r="A17" s="4" t="inlineStr">
        <is>
          <t>U1</t>
        </is>
      </c>
      <c r="B17" s="4" t="inlineStr">
        <is>
          <t>U</t>
        </is>
      </c>
      <c r="C17" s="5" t="inlineStr">
        <is>
          <t>Org chart / cross-trained staffing plan</t>
        </is>
      </c>
      <c r="D17" s="10" t="inlineStr">
        <is>
          <t>High</t>
        </is>
      </c>
      <c r="E17" s="7" t="inlineStr">
        <is>
          <t>Gap</t>
        </is>
      </c>
      <c r="F17" s="5" t="inlineStr">
        <is>
          <t>Robert/WasteWerx</t>
        </is>
      </c>
      <c r="G17" s="5" t="inlineStr">
        <is>
          <t>Expected headcount + roles (vs worst-case)</t>
        </is>
      </c>
      <c r="H17" s="8">
        <f>IF(D17="Critical",3,IF(D17="High",2,1))</f>
        <v/>
      </c>
      <c r="I17" s="9">
        <f>IF(E17="Closed",1,IF(E17="In progress",0.5,0))</f>
        <v/>
      </c>
    </row>
    <row r="18">
      <c r="A18" s="4" t="inlineStr">
        <is>
          <t>U2</t>
        </is>
      </c>
      <c r="B18" s="4" t="inlineStr">
        <is>
          <t>U</t>
        </is>
      </c>
      <c r="C18" s="5" t="inlineStr">
        <is>
          <t>Site control (host co-location agreements) execution</t>
        </is>
      </c>
      <c r="D18" s="10" t="inlineStr">
        <is>
          <t>High</t>
        </is>
      </c>
      <c r="E18" s="7" t="inlineStr">
        <is>
          <t>Gap</t>
        </is>
      </c>
      <c r="F18" s="5" t="inlineStr">
        <is>
          <t>Robert</t>
        </is>
      </c>
      <c r="G18" s="5" t="inlineStr">
        <is>
          <t>Execute site control per active site</t>
        </is>
      </c>
      <c r="H18" s="8">
        <f>IF(D18="Critical",3,IF(D18="High",2,1))</f>
        <v/>
      </c>
      <c r="I18" s="9">
        <f>IF(E18="Closed",1,IF(E18="In progress",0.5,0))</f>
        <v/>
      </c>
    </row>
    <row r="19">
      <c r="A19" s="4" t="inlineStr">
        <is>
          <t>U3</t>
        </is>
      </c>
      <c r="B19" s="4" t="inlineStr">
        <is>
          <t>U</t>
        </is>
      </c>
      <c r="C19" s="5" t="inlineStr">
        <is>
          <t>No independent energy/emissions-modeling lead</t>
        </is>
      </c>
      <c r="D19" s="10" t="inlineStr">
        <is>
          <t>High</t>
        </is>
      </c>
      <c r="E19" s="7" t="inlineStr">
        <is>
          <t>Gap</t>
        </is>
      </c>
      <c r="F19" s="5" t="inlineStr">
        <is>
          <t>Robert/Glen</t>
        </is>
      </c>
      <c r="G19" s="5" t="inlineStr">
        <is>
          <t>Retain engineer (AVERT/GHG modeling)</t>
        </is>
      </c>
      <c r="H19" s="8">
        <f>IF(D19="Critical",3,IF(D19="High",2,1))</f>
        <v/>
      </c>
      <c r="I19" s="9">
        <f>IF(E19="Closed",1,IF(E19="In progress",0.5,0))</f>
        <v/>
      </c>
    </row>
    <row r="20">
      <c r="A20" s="4" t="inlineStr">
        <is>
          <t>U4</t>
        </is>
      </c>
      <c r="B20" s="4" t="inlineStr">
        <is>
          <t>U</t>
        </is>
      </c>
      <c r="C20" s="5" t="inlineStr">
        <is>
          <t>Compliance calendar / permit register / MRV per site</t>
        </is>
      </c>
      <c r="D20" s="7" t="inlineStr">
        <is>
          <t>Medium</t>
        </is>
      </c>
      <c r="E20" s="7" t="inlineStr">
        <is>
          <t>Gap</t>
        </is>
      </c>
      <c r="F20" s="5" t="inlineStr">
        <is>
          <t>PublicLogic</t>
        </is>
      </c>
      <c r="G20" s="5" t="inlineStr">
        <is>
          <t>Populate VAULT spine per site</t>
        </is>
      </c>
      <c r="H20" s="8">
        <f>IF(D20="Critical",3,IF(D20="High",2,1))</f>
        <v/>
      </c>
      <c r="I20" s="9">
        <f>IF(E20="Closed",1,IF(E20="In progress",0.5,0))</f>
        <v/>
      </c>
    </row>
    <row r="21">
      <c r="A21" s="4" t="inlineStr">
        <is>
          <t>U5</t>
        </is>
      </c>
      <c r="B21" s="4" t="inlineStr">
        <is>
          <t>U</t>
        </is>
      </c>
      <c r="C21" s="5" t="inlineStr">
        <is>
          <t>Data room not stood up</t>
        </is>
      </c>
      <c r="D21" s="7" t="inlineStr">
        <is>
          <t>Medium</t>
        </is>
      </c>
      <c r="E21" s="7" t="inlineStr">
        <is>
          <t>In progress</t>
        </is>
      </c>
      <c r="F21" s="5" t="inlineStr">
        <is>
          <t>PublicLogic</t>
        </is>
      </c>
      <c r="G21" s="5" t="inlineStr">
        <is>
          <t>Index data room: SSOT + contracts + entity docs</t>
        </is>
      </c>
      <c r="H21" s="8">
        <f>IF(D21="Critical",3,IF(D21="High",2,1))</f>
        <v/>
      </c>
      <c r="I21" s="9">
        <f>IF(E21="Closed",1,IF(E21="In progress",0.5,0))</f>
        <v/>
      </c>
    </row>
    <row r="22">
      <c r="A22" s="4" t="inlineStr">
        <is>
          <t>L1</t>
        </is>
      </c>
      <c r="B22" s="4" t="inlineStr">
        <is>
          <t>L</t>
        </is>
      </c>
      <c r="C22" s="5" t="inlineStr">
        <is>
          <t>Securities counsel review before any circulation</t>
        </is>
      </c>
      <c r="D22" s="6" t="inlineStr">
        <is>
          <t>Critical</t>
        </is>
      </c>
      <c r="E22" s="7" t="inlineStr">
        <is>
          <t>Gap</t>
        </is>
      </c>
      <c r="F22" s="5" t="inlineStr">
        <is>
          <t>Counsel</t>
        </is>
      </c>
      <c r="G22" s="5" t="inlineStr">
        <is>
          <t>Engagement + offering structure/opinion</t>
        </is>
      </c>
      <c r="H22" s="8">
        <f>IF(D22="Critical",3,IF(D22="High",2,1))</f>
        <v/>
      </c>
      <c r="I22" s="9">
        <f>IF(E22="Closed",1,IF(E22="In progress",0.5,0))</f>
        <v/>
      </c>
    </row>
    <row r="23">
      <c r="A23" s="4" t="inlineStr">
        <is>
          <t>L2</t>
        </is>
      </c>
      <c r="B23" s="4" t="inlineStr">
        <is>
          <t>L</t>
        </is>
      </c>
      <c r="C23" s="5" t="inlineStr">
        <is>
          <t>WasteWerx IP: license disclosure; no proprietary images</t>
        </is>
      </c>
      <c r="D23" s="10" t="inlineStr">
        <is>
          <t>High</t>
        </is>
      </c>
      <c r="E23" s="7" t="inlineStr">
        <is>
          <t>Gap</t>
        </is>
      </c>
      <c r="F23" s="5" t="inlineStr">
        <is>
          <t>PublicLogic/WasteWerx</t>
        </is>
      </c>
      <c r="G23" s="5" t="inlineStr">
        <is>
          <t>License/title/termination disclosure; generic visuals</t>
        </is>
      </c>
      <c r="H23" s="8">
        <f>IF(D23="Critical",3,IF(D23="High",2,1))</f>
        <v/>
      </c>
      <c r="I23" s="9">
        <f>IF(E23="Closed",1,IF(E23="In progress",0.5,0))</f>
        <v/>
      </c>
    </row>
    <row r="24">
      <c r="A24" s="4" t="inlineStr">
        <is>
          <t>L3</t>
        </is>
      </c>
      <c r="B24" s="4" t="inlineStr">
        <is>
          <t>L</t>
        </is>
      </c>
      <c r="C24" s="5" t="inlineStr">
        <is>
          <t>FOIA wall (private investor deck vs public EGLE grant)</t>
        </is>
      </c>
      <c r="D24" s="10" t="inlineStr">
        <is>
          <t>High</t>
        </is>
      </c>
      <c r="E24" s="7" t="inlineStr">
        <is>
          <t>In progress</t>
        </is>
      </c>
      <c r="F24" s="5" t="inlineStr">
        <is>
          <t>PublicLogic</t>
        </is>
      </c>
      <c r="G24" s="5" t="inlineStr">
        <is>
          <t>Separate doc sets; no proprietary in grant</t>
        </is>
      </c>
      <c r="H24" s="8">
        <f>IF(D24="Critical",3,IF(D24="High",2,1))</f>
        <v/>
      </c>
      <c r="I24" s="9">
        <f>IF(E24="Closed",1,IF(E24="In progress",0.5,0))</f>
        <v/>
      </c>
    </row>
    <row r="25">
      <c r="A25" s="4" t="inlineStr">
        <is>
          <t>L4</t>
        </is>
      </c>
      <c r="B25" s="4" t="inlineStr">
        <is>
          <t>L</t>
        </is>
      </c>
      <c r="C25" s="5" t="inlineStr">
        <is>
          <t>Overclaim: 'largest in US' vs verbal 'world'</t>
        </is>
      </c>
      <c r="D25" s="7" t="inlineStr">
        <is>
          <t>Medium</t>
        </is>
      </c>
      <c r="E25" s="7" t="inlineStr">
        <is>
          <t>Gap</t>
        </is>
      </c>
      <c r="F25" s="5" t="inlineStr">
        <is>
          <t>PublicLogic/Robert</t>
        </is>
      </c>
      <c r="G25" s="5" t="inlineStr">
        <is>
          <t>Use defensible US claim unless evidenced</t>
        </is>
      </c>
      <c r="H25" s="8">
        <f>IF(D25="Critical",3,IF(D25="High",2,1))</f>
        <v/>
      </c>
      <c r="I25" s="9">
        <f>IF(E25="Closed",1,IF(E25="In progress",0.5,0))</f>
        <v/>
      </c>
    </row>
    <row r="26">
      <c r="A26" s="4" t="inlineStr">
        <is>
          <t>L5</t>
        </is>
      </c>
      <c r="B26" s="4" t="inlineStr">
        <is>
          <t>L</t>
        </is>
      </c>
      <c r="C26" s="5" t="inlineStr">
        <is>
          <t>Credit/tax legitimacy (RIN registration, 45Z eligibility, counsel)</t>
        </is>
      </c>
      <c r="D26" s="10" t="inlineStr">
        <is>
          <t>High</t>
        </is>
      </c>
      <c r="E26" s="7" t="inlineStr">
        <is>
          <t>Gap</t>
        </is>
      </c>
      <c r="F26" s="5" t="inlineStr">
        <is>
          <t>Glen/Counsel</t>
        </is>
      </c>
      <c r="G26" s="5" t="inlineStr">
        <is>
          <t>Register RIN; tax-counsel review 45Z</t>
        </is>
      </c>
      <c r="H26" s="8">
        <f>IF(D26="Critical",3,IF(D26="High",2,1))</f>
        <v/>
      </c>
      <c r="I26" s="9">
        <f>IF(E26="Closed",1,IF(E26="In progress",0.5,0))</f>
        <v/>
      </c>
    </row>
    <row r="27">
      <c r="A27" s="4" t="inlineStr">
        <is>
          <t>L6</t>
        </is>
      </c>
      <c r="B27" s="4" t="inlineStr">
        <is>
          <t>L</t>
        </is>
      </c>
      <c r="C27" s="5" t="inlineStr">
        <is>
          <t>Community-benefit %: 10% vs 20% conflict; encode in docs</t>
        </is>
      </c>
      <c r="D27" s="7" t="inlineStr">
        <is>
          <t>Medium</t>
        </is>
      </c>
      <c r="E27" s="7" t="inlineStr">
        <is>
          <t>Gap</t>
        </is>
      </c>
      <c r="F27" s="5" t="inlineStr">
        <is>
          <t>Robert/Counsel</t>
        </is>
      </c>
      <c r="G27" s="5" t="inlineStr">
        <is>
          <t>Reconcile + encode in operating agreements</t>
        </is>
      </c>
      <c r="H27" s="8">
        <f>IF(D27="Critical",3,IF(D27="High",2,1))</f>
        <v/>
      </c>
      <c r="I27" s="9">
        <f>IF(E27="Closed",1,IF(E27="In progress",0.5,0))</f>
        <v/>
      </c>
    </row>
    <row r="28">
      <c r="A28" s="4" t="inlineStr">
        <is>
          <t>L7</t>
        </is>
      </c>
      <c r="B28" s="4" t="inlineStr">
        <is>
          <t>L</t>
        </is>
      </c>
      <c r="C28" s="5" t="inlineStr">
        <is>
          <t>Per-site permit legitimacy (air PTI/NSR, Part 169/201, NPDES)</t>
        </is>
      </c>
      <c r="D28" s="7" t="inlineStr">
        <is>
          <t>Medium</t>
        </is>
      </c>
      <c r="E28" s="7" t="inlineStr">
        <is>
          <t>Gap</t>
        </is>
      </c>
      <c r="F28" s="5" t="inlineStr">
        <is>
          <t>Robert/PublicLogic</t>
        </is>
      </c>
      <c r="G28" s="5" t="inlineStr">
        <is>
          <t>EGLE pre-app follow-through; permit register</t>
        </is>
      </c>
      <c r="H28" s="8">
        <f>IF(D28="Critical",3,IF(D28="High",2,1))</f>
        <v/>
      </c>
      <c r="I28" s="9">
        <f>IF(E28="Closed",1,IF(E28="In progress",0.5,0))</f>
        <v/>
      </c>
    </row>
    <row r="29">
      <c r="A29" s="4" t="inlineStr">
        <is>
          <t>T1</t>
        </is>
      </c>
      <c r="B29" s="4" t="inlineStr">
        <is>
          <t>T</t>
        </is>
      </c>
      <c r="C29" s="5" t="inlineStr">
        <is>
          <t>Succession risk: all knowledge in McCall</t>
        </is>
      </c>
      <c r="D29" s="6" t="inlineStr">
        <is>
          <t>Critical</t>
        </is>
      </c>
      <c r="E29" s="7" t="inlineStr">
        <is>
          <t>Gap</t>
        </is>
      </c>
      <c r="F29" s="5" t="inlineStr">
        <is>
          <t>PublicLogic/Rothschild</t>
        </is>
      </c>
      <c r="G29" s="5" t="inlineStr">
        <is>
          <t>Institutional-continuity protocol; named stewards</t>
        </is>
      </c>
      <c r="H29" s="8">
        <f>IF(D29="Critical",3,IF(D29="High",2,1))</f>
        <v/>
      </c>
      <c r="I29" s="9">
        <f>IF(E29="Closed",1,IF(E29="In progress",0.5,0))</f>
        <v/>
      </c>
    </row>
    <row r="30">
      <c r="A30" s="4" t="inlineStr">
        <is>
          <t>T2</t>
        </is>
      </c>
      <c r="B30" s="4" t="inlineStr">
        <is>
          <t>T</t>
        </is>
      </c>
      <c r="C30" s="5" t="inlineStr">
        <is>
          <t>Replication architecture (state SPVs) template</t>
        </is>
      </c>
      <c r="D30" s="10" t="inlineStr">
        <is>
          <t>High</t>
        </is>
      </c>
      <c r="E30" s="7" t="inlineStr">
        <is>
          <t>Gap</t>
        </is>
      </c>
      <c r="F30" s="5" t="inlineStr">
        <is>
          <t>PublicLogic</t>
        </is>
      </c>
      <c r="G30" s="5" t="inlineStr">
        <is>
          <t>Document module library / replication template</t>
        </is>
      </c>
      <c r="H30" s="8">
        <f>IF(D30="Critical",3,IF(D30="High",2,1))</f>
        <v/>
      </c>
      <c r="I30" s="9">
        <f>IF(E30="Closed",1,IF(E30="In progress",0.5,0))</f>
        <v/>
      </c>
    </row>
    <row r="31">
      <c r="A31" s="4" t="inlineStr">
        <is>
          <t>T3</t>
        </is>
      </c>
      <c r="B31" s="4" t="inlineStr">
        <is>
          <t>T</t>
        </is>
      </c>
      <c r="C31" s="5" t="inlineStr">
        <is>
          <t>Institutional continuity (evidence chains, steward designations)</t>
        </is>
      </c>
      <c r="D31" s="7" t="inlineStr">
        <is>
          <t>Medium</t>
        </is>
      </c>
      <c r="E31" s="7" t="inlineStr">
        <is>
          <t>In progress</t>
        </is>
      </c>
      <c r="F31" s="5" t="inlineStr">
        <is>
          <t>PublicLogic/Rothschild</t>
        </is>
      </c>
      <c r="G31" s="5" t="inlineStr">
        <is>
          <t>CFIR continuity; VAULT records</t>
        </is>
      </c>
      <c r="H31" s="8">
        <f>IF(D31="Critical",3,IF(D31="High",2,1))</f>
        <v/>
      </c>
      <c r="I31" s="9">
        <f>IF(E31="Closed",1,IF(E31="In progress",0.5,0))</f>
        <v/>
      </c>
    </row>
    <row r="32">
      <c r="A32" s="4" t="inlineStr">
        <is>
          <t>T4</t>
        </is>
      </c>
      <c r="B32" s="4" t="inlineStr">
        <is>
          <t>T</t>
        </is>
      </c>
      <c r="C32" s="5" t="inlineStr">
        <is>
          <t>Community/client ownership &amp; durability encoded</t>
        </is>
      </c>
      <c r="D32" s="7" t="inlineStr">
        <is>
          <t>Medium</t>
        </is>
      </c>
      <c r="E32" s="7" t="inlineStr">
        <is>
          <t>Gap</t>
        </is>
      </c>
      <c r="F32" s="5" t="inlineStr">
        <is>
          <t>Robert/Counsel</t>
        </is>
      </c>
      <c r="G32" s="5" t="inlineStr">
        <is>
          <t>Encode durability in governing docs</t>
        </is>
      </c>
      <c r="H32" s="8">
        <f>IF(D32="Critical",3,IF(D32="High",2,1))</f>
        <v/>
      </c>
      <c r="I32" s="9">
        <f>IF(E32="Closed",1,IF(E32="In progress",0.5,0))</f>
        <v/>
      </c>
    </row>
    <row r="34">
      <c r="B34" s="11" t="inlineStr">
        <is>
          <t>GOVERNANCE READINESS (severity-weighted)</t>
        </is>
      </c>
      <c r="D34" s="12">
        <f>SUMPRODUCT(H5:H32,I5:I32)/SUM(H5:H32)</f>
        <v/>
      </c>
    </row>
    <row r="35">
      <c r="B35" s="11" t="inlineStr">
        <is>
          <t>Critical findings open (status &lt;&gt; Closed)</t>
        </is>
      </c>
      <c r="D35" s="13">
        <f>COUNTIFS(D5:D32,"Critical",E5:E32,"&lt;&gt;Closed")</f>
        <v/>
      </c>
    </row>
    <row r="36">
      <c r="B36" s="11" t="inlineStr">
        <is>
          <t>Total findings / Closed</t>
        </is>
      </c>
      <c r="D36" s="13">
        <f>COUNTA(A5:A32)&amp;" / "&amp;COUNTIF(E5:E32,"Closed")</f>
        <v/>
      </c>
    </row>
    <row r="38">
      <c r="B38" s="2" t="inlineStr"/>
    </row>
    <row r="39">
      <c r="B39" s="11" t="inlineStr">
        <is>
          <t>HOW TO USE / READ</t>
        </is>
      </c>
    </row>
    <row r="40">
      <c r="B40" s="2" t="inlineStr">
        <is>
          <t xml:space="preserve">  * Update yellow Status: Gap (0%) -&gt; In progress (50%) -&gt; Closed (100%). Readiness = severity-weighted completion.</t>
        </is>
      </c>
    </row>
    <row r="41">
      <c r="B41" s="2" t="inlineStr">
        <is>
          <t xml:space="preserve">  * Severity weights: Critical=3, High=2, Medium=1. Drive Critical findings to Closed first.</t>
        </is>
      </c>
    </row>
    <row r="42">
      <c r="B42" s="2" t="inlineStr">
        <is>
          <t xml:space="preserve">  * 100% readiness = every VAULT gap closed = investment-grade &amp; replication-ready. Pair with the All-A scorecard.</t>
        </is>
      </c>
    </row>
    <row r="43">
      <c r="B43" s="2" t="inlineStr">
        <is>
          <t xml:space="preserve">  * Narrative &amp; pillar logic: Michigan_LTC_VAULT_Assessment.md.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2026-06-05T02:22:22Z</dcterms:created>
  <dcterms:modified xmlns:dcterms="http://purl.org/dc/terms/" xmlns:xsi="http://www.w3.org/2001/XMLSchema-instance" xsi:type="dcterms:W3CDTF">2026-06-05T02:22:22Z</dcterms:modified>
</cp:coreProperties>
</file>