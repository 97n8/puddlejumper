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evenue" sheetId="3" state="visible" r:id="rId3"/>
    <sheet xmlns:r="http://schemas.openxmlformats.org/officeDocument/2006/relationships" name="Opex" sheetId="4" state="visible" r:id="rId4"/>
    <sheet xmlns:r="http://schemas.openxmlformats.org/officeDocument/2006/relationships" name="P&amp;L" sheetId="5" state="visible" r:id="rId5"/>
    <sheet xmlns:r="http://schemas.openxmlformats.org/officeDocument/2006/relationships" name="Corridor" sheetId="6" state="visible" r:id="rId6"/>
    <sheet xmlns:r="http://schemas.openxmlformats.org/officeDocument/2006/relationships" name="Capital" sheetId="7" state="visible" r:id="rId7"/>
    <sheet xmlns:r="http://schemas.openxmlformats.org/officeDocument/2006/relationships" name="Fla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55555"/>
      <sz val="9"/>
    </font>
    <font>
      <b val="1"/>
      <color rgb="001F4E5F"/>
      <sz val="11"/>
    </font>
    <font>
      <b val="1"/>
      <color rgb="00FFFFFF"/>
    </font>
    <font>
      <b val="1"/>
      <color rgb="00888888"/>
      <sz val="9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3" fontId="0" fillId="3" borderId="1" pivotButton="0" quotePrefix="0" xfId="0"/>
    <xf numFmtId="1" fontId="0" fillId="3" borderId="1" pivotButton="0" quotePrefix="0" xfId="0"/>
    <xf numFmtId="2" fontId="0" fillId="3" borderId="1" pivotButton="0" quotePrefix="0" xfId="0"/>
    <xf numFmtId="0" fontId="0" fillId="0" borderId="1" applyAlignment="1" pivotButton="0" quotePrefix="0" xfId="0">
      <alignment vertical="top" wrapText="1"/>
    </xf>
    <xf numFmtId="3" fontId="0" fillId="4" borderId="1" pivotButton="0" quotePrefix="0" xfId="0"/>
    <xf numFmtId="0" fontId="0" fillId="0" borderId="1" applyAlignment="1" pivotButton="0" quotePrefix="0" xfId="0">
      <alignment horizontal="center" vertical="center"/>
    </xf>
    <xf numFmtId="3" fontId="0" fillId="5" borderId="1" pivotButton="0" quotePrefix="0" xfId="0"/>
    <xf numFmtId="0" fontId="6" fillId="0" borderId="0" pivotButton="0" quotePrefix="0" xfId="0"/>
    <xf numFmtId="3" fontId="6" fillId="4" borderId="0" pivotButton="0" quotePrefix="0" xfId="0"/>
    <xf numFmtId="3" fontId="6" fillId="5" borderId="0" pivotButton="0" quotePrefix="0" xfId="0"/>
    <xf numFmtId="3" fontId="7" fillId="4" borderId="0" pivotButton="0" quotePrefix="0" xfId="0"/>
    <xf numFmtId="3" fontId="0" fillId="0" borderId="1" pivotButton="0" quotePrefix="0" xfId="0"/>
    <xf numFmtId="3" fontId="6" fillId="6" borderId="0" pivotButton="0" quotePrefix="0" xfId="0"/>
    <xf numFmtId="3" fontId="6" fillId="4" borderId="1" pivotButton="0" quotePrefix="0" xfId="0"/>
    <xf numFmtId="3" fontId="6" fillId="5" borderId="1" pivotButton="0" quotePrefix="0" xfId="0"/>
    <xf numFmtId="3" fontId="0" fillId="0" borderId="0" pivotButton="0" quotePrefix="0" xfId="0"/>
    <xf numFmtId="3" fontId="7" fillId="5" borderId="0" pivotButton="0" quotePrefix="0" xfId="0"/>
    <xf numFmtId="3" fontId="7" fillId="6" borderId="0" pivotButton="0" quotePrefix="0" xfId="0"/>
    <xf numFmtId="3" fontId="6" fillId="3" borderId="1" pivotButton="0" quotePrefix="0" xfId="0"/>
    <xf numFmtId="0" fontId="0" fillId="0" borderId="1" pivotButton="0" quotePrefix="0" xfId="0"/>
    <xf numFmtId="3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Michigan LTC — Financial Model (keyed to Canonical v2.0 / executed Pro Forma)</t>
        </is>
      </c>
    </row>
    <row r="2">
      <c r="A2" s="2" t="inlineStr">
        <is>
          <t>Every figure is a signed-document value or a formula over one. Yellow = input. Date 2026-06-03. Not financial/legal advice.</t>
        </is>
      </c>
    </row>
    <row r="4">
      <c r="A4" t="inlineStr"/>
    </row>
    <row r="5">
      <c r="A5" s="3" t="inlineStr">
        <is>
          <t>THE CENTRAL FINDING</t>
        </is>
      </c>
    </row>
    <row r="6">
      <c r="A6" t="inlineStr">
        <is>
          <t xml:space="preserve">  The signed $30,200,531 EBITDA is real as a DOCUMENT, but it rests on two things diligence will test:</t>
        </is>
      </c>
    </row>
    <row r="7">
      <c r="A7" t="inlineStr">
        <is>
          <t xml:space="preserve">   1. OPEX: the Pro Forma opex of $5,381,149 assumes only 4 FTE + 1 manager ($425,000). WasteWerx's OWN staffing</t>
        </is>
      </c>
    </row>
    <row r="8">
      <c r="A8" t="inlineStr">
        <is>
          <t xml:space="preserve">      pro forma says the plant needs 62 FTE ($5,522,400). On operator-reality staffing the EBITDA falls to ~$22M.</t>
        </is>
      </c>
    </row>
    <row r="9">
      <c r="A9" t="inlineStr">
        <is>
          <t xml:space="preserve">   2. CREDITS: $20,428,560 of the $35,581,680 revenue is RIN + Section 45Z — contingent on EPA RFS registration</t>
        </is>
      </c>
    </row>
    <row r="10">
      <c r="A10" t="inlineStr">
        <is>
          <t xml:space="preserve">      (Flag 3). Base fuel (RD+SAF) is only $15,153,120. Carbon black is $0 in the executed Pro Forma (Flag 1).</t>
        </is>
      </c>
    </row>
    <row r="11">
      <c r="A11" t="inlineStr"/>
    </row>
    <row r="12">
      <c r="A12" s="3" t="inlineStr">
        <is>
          <t>THREE INCOMPATIBLE REVENUE MODELS (reconciled here)</t>
        </is>
      </c>
    </row>
    <row r="13">
      <c r="A13" t="inlineStr">
        <is>
          <t xml:space="preserve">  * Investor Brief / EM&amp;S deck: raw oil $6.75M + carbon black $10.125M = $16.875M (credits EXCLUDED as upside).</t>
        </is>
      </c>
    </row>
    <row r="14">
      <c r="A14" t="inlineStr">
        <is>
          <t xml:space="preserve">  * Canonical v2.0 (executed Pro Forma): distilled fuel RD+SAF $15.15M + credits $20.43M = $35.58M (CB EXCLUDED).</t>
        </is>
      </c>
    </row>
    <row r="15">
      <c r="A15" t="inlineStr">
        <is>
          <t xml:space="preserve">  * This model uses the Canonical (signed) split and shows the deck's alternative for reference.</t>
        </is>
      </c>
    </row>
    <row r="16">
      <c r="A16" t="inlineStr"/>
    </row>
    <row r="17">
      <c r="A17" s="3" t="inlineStr">
        <is>
          <t>HOW TO READ</t>
        </is>
      </c>
    </row>
    <row r="18">
      <c r="A18" t="inlineStr">
        <is>
          <t xml:space="preserve">  Revenue  - exact RD/SAF/RIN/45Z build-up (Canonical Revenue tab).</t>
        </is>
      </c>
    </row>
    <row r="19">
      <c r="A19" t="inlineStr">
        <is>
          <t xml:space="preserve">  Opex     - Pro Forma (as signed, 5 FTE) vs Operator-reality (62-FTE staffing + real feedstock). Two cases.</t>
        </is>
      </c>
    </row>
    <row r="20">
      <c r="A20" t="inlineStr">
        <is>
          <t xml:space="preserve">  P&amp;L      - EBITDA matrix: revenue case x opex case. The honest range, not a single number.</t>
        </is>
      </c>
    </row>
    <row r="21">
      <c r="A21" t="inlineStr">
        <is>
          <t xml:space="preserve">  Corridor - 3-site rollup. Capital - the two raises. Flags - the open commercial items + support letters.</t>
        </is>
      </c>
    </row>
    <row r="22">
      <c r="A22" t="inlineStr"/>
    </row>
    <row r="23">
      <c r="A23" t="inlineStr">
        <is>
          <t>Confirmed support letters on file: Geocycle (Paolo Carollo) 1/26/26; U-Arizona (Dr. Joel Cuello) 2/10/26;</t>
        </is>
      </c>
    </row>
    <row r="24">
      <c r="A24" t="inlineStr">
        <is>
          <t xml:space="preserve">  Acadia/Brien Walton validation 5/8/26; WasteWerx mutual NDA executed 5/18/26.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4" customWidth="1" min="1" max="1"/>
    <col width="48" customWidth="1" min="2" max="2"/>
    <col width="14" customWidth="1" min="3" max="3"/>
    <col width="12" customWidth="1" min="4" max="4"/>
    <col width="52" customWidth="1" min="5" max="5"/>
  </cols>
  <sheetData>
    <row r="1">
      <c r="A1" s="1" t="inlineStr">
        <is>
          <t>Inputs — signed-document values (Canonical v2.0)</t>
        </is>
      </c>
    </row>
    <row r="2">
      <c r="A2" s="2" t="inlineStr">
        <is>
          <t>Yellow = editable. Revenue &amp; Pro Forma opex are executed-Pro-Forma values; stress levers are the diligence swings.</t>
        </is>
      </c>
    </row>
    <row r="4">
      <c r="A4" s="4" t="inlineStr">
        <is>
          <t>Key</t>
        </is>
      </c>
      <c r="B4" s="4" t="inlineStr">
        <is>
          <t>Assumption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Source</t>
        </is>
      </c>
    </row>
    <row r="5">
      <c r="A5" s="5" t="inlineStr">
        <is>
          <t>rd_sales</t>
        </is>
      </c>
      <c r="B5" t="inlineStr">
        <is>
          <t>RD fuel sales (2,399,040 gal x $2.00)</t>
        </is>
      </c>
      <c r="C5" s="6" t="n">
        <v>4798080</v>
      </c>
      <c r="D5" t="inlineStr">
        <is>
          <t>$/yr</t>
        </is>
      </c>
      <c r="E5" s="2" t="inlineStr">
        <is>
          <t>Canonical Revenue B10</t>
        </is>
      </c>
    </row>
    <row r="6">
      <c r="A6" s="5" t="inlineStr">
        <is>
          <t>saf_sales</t>
        </is>
      </c>
      <c r="B6" t="inlineStr">
        <is>
          <t>SAF fuel sales (2,301,120 gal x $4.50)</t>
        </is>
      </c>
      <c r="C6" s="6" t="n">
        <v>10355040</v>
      </c>
      <c r="D6" t="inlineStr">
        <is>
          <t>$/yr</t>
        </is>
      </c>
      <c r="E6" s="2" t="inlineStr">
        <is>
          <t>Canonical Revenue B11</t>
        </is>
      </c>
    </row>
    <row r="7">
      <c r="A7" s="5" t="inlineStr">
        <is>
          <t>d4_rin</t>
        </is>
      </c>
      <c r="B7" t="inlineStr">
        <is>
          <t>D4 RIN — RD ($2.00/gal)</t>
        </is>
      </c>
      <c r="C7" s="6" t="n">
        <v>4798080</v>
      </c>
      <c r="D7" t="inlineStr">
        <is>
          <t>$/yr</t>
        </is>
      </c>
      <c r="E7" s="2" t="inlineStr">
        <is>
          <t>Canonical Revenue B12 — Flag 3 (RFS)</t>
        </is>
      </c>
    </row>
    <row r="8">
      <c r="A8" s="5" t="inlineStr">
        <is>
          <t>d7_rin</t>
        </is>
      </c>
      <c r="B8" t="inlineStr">
        <is>
          <t>D7 RIN — SAF ($4.00/gal)</t>
        </is>
      </c>
      <c r="C8" s="6" t="n">
        <v>9204480</v>
      </c>
      <c r="D8" t="inlineStr">
        <is>
          <t>$/yr</t>
        </is>
      </c>
      <c r="E8" s="2" t="inlineStr">
        <is>
          <t>Canonical Revenue B13 — Flag 3 (RFS)</t>
        </is>
      </c>
    </row>
    <row r="9">
      <c r="A9" s="5" t="inlineStr">
        <is>
          <t>z45_rd</t>
        </is>
      </c>
      <c r="B9" t="inlineStr">
        <is>
          <t>Section 45Z — RD ($1.00/gal)</t>
        </is>
      </c>
      <c r="C9" s="6" t="n">
        <v>2399040</v>
      </c>
      <c r="D9" t="inlineStr">
        <is>
          <t>$/yr</t>
        </is>
      </c>
      <c r="E9" s="2" t="inlineStr">
        <is>
          <t>Canonical Revenue B14 — Flag 3</t>
        </is>
      </c>
    </row>
    <row r="10">
      <c r="A10" s="5" t="inlineStr">
        <is>
          <t>z45_saf</t>
        </is>
      </c>
      <c r="B10" t="inlineStr">
        <is>
          <t>Section 45Z — SAF ($1.75/gal)</t>
        </is>
      </c>
      <c r="C10" s="6" t="n">
        <v>4026960</v>
      </c>
      <c r="D10" t="inlineStr">
        <is>
          <t>$/yr</t>
        </is>
      </c>
      <c r="E10" s="2" t="inlineStr">
        <is>
          <t>Canonical Revenue B15 — Flag 3</t>
        </is>
      </c>
    </row>
    <row r="11">
      <c r="A11" s="5" t="inlineStr">
        <is>
          <t>cb_upside</t>
        </is>
      </c>
      <c r="B11" t="inlineStr">
        <is>
          <t>Carbon black (UPSIDE, excluded from base)</t>
        </is>
      </c>
      <c r="C11" s="7" t="n">
        <v>0</v>
      </c>
      <c r="D11" t="inlineStr">
        <is>
          <t>$/yr</t>
        </is>
      </c>
      <c r="E11" s="2" t="inlineStr">
        <is>
          <t>Canonical Flag 1; deck implied ~$10.125M — uncontracted</t>
        </is>
      </c>
    </row>
    <row r="12">
      <c r="A12" s="5" t="inlineStr">
        <is>
          <t>ww_fees</t>
        </is>
      </c>
      <c r="B12" t="inlineStr">
        <is>
          <t>WasteWerx fees (monitoring $420k + royalty $2,820,096)</t>
        </is>
      </c>
      <c r="C12" s="6" t="n">
        <v>3240096</v>
      </c>
      <c r="D12" t="inlineStr">
        <is>
          <t>$/yr</t>
        </is>
      </c>
      <c r="E12" s="2" t="inlineStr">
        <is>
          <t>Canonical Per-Site P&amp;L</t>
        </is>
      </c>
    </row>
    <row r="13">
      <c r="A13" s="5" t="inlineStr">
        <is>
          <t>feedstock_pf</t>
        </is>
      </c>
      <c r="B13" t="inlineStr">
        <is>
          <t>Feedstock — Pro Forma ($0.20/gal)</t>
        </is>
      </c>
      <c r="C13" s="6" t="n">
        <v>940032</v>
      </c>
      <c r="D13" t="inlineStr">
        <is>
          <t>$/yr</t>
        </is>
      </c>
      <c r="E13" s="2" t="inlineStr">
        <is>
          <t>Canonical Per-Site P&amp;L</t>
        </is>
      </c>
    </row>
    <row r="14">
      <c r="A14" s="5" t="inlineStr">
        <is>
          <t>utilities</t>
        </is>
      </c>
      <c r="B14" t="inlineStr">
        <is>
          <t>Utilities ($0.05/gal)</t>
        </is>
      </c>
      <c r="C14" s="6" t="n">
        <v>235008</v>
      </c>
      <c r="D14" t="inlineStr">
        <is>
          <t>$/yr</t>
        </is>
      </c>
      <c r="E14" s="2" t="inlineStr">
        <is>
          <t>Canonical Per-Site P&amp;L</t>
        </is>
      </c>
    </row>
    <row r="15">
      <c r="A15" s="5" t="inlineStr">
        <is>
          <t>distribution</t>
        </is>
      </c>
      <c r="B15" t="inlineStr">
        <is>
          <t>Fuel distribution &amp; shipping ($0.08/gal)</t>
        </is>
      </c>
      <c r="C15" s="6" t="n">
        <v>376013</v>
      </c>
      <c r="D15" t="inlineStr">
        <is>
          <t>$/yr</t>
        </is>
      </c>
      <c r="E15" s="2" t="inlineStr">
        <is>
          <t>Canonical Per-Site P&amp;L</t>
        </is>
      </c>
    </row>
    <row r="16">
      <c r="A16" s="5" t="inlineStr">
        <is>
          <t>labor_pf</t>
        </is>
      </c>
      <c r="B16" t="inlineStr">
        <is>
          <t>Operating labor — Pro Forma (4 FTE + manager)</t>
        </is>
      </c>
      <c r="C16" s="6" t="n">
        <v>425000</v>
      </c>
      <c r="D16" t="inlineStr">
        <is>
          <t>$/yr</t>
        </is>
      </c>
      <c r="E16" s="2" t="inlineStr">
        <is>
          <t>Canonical Per-Site P&amp;L</t>
        </is>
      </c>
    </row>
    <row r="17">
      <c r="A17" s="5" t="inlineStr">
        <is>
          <t>insurance</t>
        </is>
      </c>
      <c r="B17" t="inlineStr">
        <is>
          <t>Insurance (GL + property)</t>
        </is>
      </c>
      <c r="C17" s="6" t="n">
        <v>65000</v>
      </c>
      <c r="D17" t="inlineStr">
        <is>
          <t>$/yr</t>
        </is>
      </c>
      <c r="E17" s="2" t="inlineStr">
        <is>
          <t>Canonical Per-Site P&amp;L</t>
        </is>
      </c>
    </row>
    <row r="18">
      <c r="A18" s="5" t="inlineStr">
        <is>
          <t>permits</t>
        </is>
      </c>
      <c r="B18" t="inlineStr">
        <is>
          <t>Permit renewals &amp; compliance</t>
        </is>
      </c>
      <c r="C18" s="6" t="n">
        <v>25000</v>
      </c>
      <c r="D18" t="inlineStr">
        <is>
          <t>$/yr</t>
        </is>
      </c>
      <c r="E18" s="2" t="inlineStr">
        <is>
          <t>Canonical Per-Site P&amp;L</t>
        </is>
      </c>
    </row>
    <row r="19">
      <c r="A19" s="5" t="inlineStr">
        <is>
          <t>ga</t>
        </is>
      </c>
      <c r="B19" t="inlineStr">
        <is>
          <t>G&amp;A overhead</t>
        </is>
      </c>
      <c r="C19" s="6" t="n">
        <v>75000</v>
      </c>
      <c r="D19" t="inlineStr">
        <is>
          <t>$/yr</t>
        </is>
      </c>
      <c r="E19" s="2" t="inlineStr">
        <is>
          <t>Canonical Per-Site P&amp;L</t>
        </is>
      </c>
    </row>
    <row r="20">
      <c r="A20" s="5" t="inlineStr">
        <is>
          <t>labor_real</t>
        </is>
      </c>
      <c r="B20" t="inlineStr">
        <is>
          <t>Operating labor — STAFFING pro forma (62 FTE)</t>
        </is>
      </c>
      <c r="C20" s="6" t="n">
        <v>5522400</v>
      </c>
      <c r="D20" t="inlineStr">
        <is>
          <t>$/yr</t>
        </is>
      </c>
      <c r="E20" s="2" t="inlineStr">
        <is>
          <t>WasteWerx Staffing Pro Forma (worst-case; cross-train reduces)</t>
        </is>
      </c>
    </row>
    <row r="21">
      <c r="A21" s="5" t="inlineStr">
        <is>
          <t>mi_adj</t>
        </is>
      </c>
      <c r="B21" t="inlineStr">
        <is>
          <t>Michigan labor adjustment</t>
        </is>
      </c>
      <c r="C21" s="8" t="n">
        <v>1.05</v>
      </c>
      <c r="D21" t="inlineStr">
        <is>
          <t>x</t>
        </is>
      </c>
      <c r="E21" s="2" t="inlineStr">
        <is>
          <t>FL-&gt;MI [Robert]</t>
        </is>
      </c>
    </row>
    <row r="22">
      <c r="A22" s="5" t="inlineStr">
        <is>
          <t>xtrain</t>
        </is>
      </c>
      <c r="B22" t="inlineStr">
        <is>
          <t>Cross-training factor (&lt;1.0 reduces)</t>
        </is>
      </c>
      <c r="C22" s="8" t="n">
        <v>1</v>
      </c>
      <c r="D22" t="inlineStr">
        <is>
          <t>x</t>
        </is>
      </c>
      <c r="E22" s="2" t="inlineStr">
        <is>
          <t>Vincent Tizio 5/27: staffing is worst-case</t>
        </is>
      </c>
    </row>
    <row r="23">
      <c r="A23" s="5" t="inlineStr">
        <is>
          <t>feedstock_real</t>
        </is>
      </c>
      <c r="B23" t="inlineStr">
        <is>
          <t>Feedstock — operator reality</t>
        </is>
      </c>
      <c r="C23" s="6" t="n">
        <v>3720000</v>
      </c>
      <c r="D23" t="inlineStr">
        <is>
          <t>$/yr</t>
        </is>
      </c>
      <c r="E23" s="2" t="inlineStr">
        <is>
          <t>Deck $200/ton landed; vs ERR $25/ton tipping = ~$1M [CONFIRM]</t>
        </is>
      </c>
    </row>
    <row r="24">
      <c r="A24" s="5" t="inlineStr">
        <is>
          <t>y1_cashout</t>
        </is>
      </c>
      <c r="B24" t="inlineStr">
        <is>
          <t>Year 1 cash out (WasteWerx $6,670,328 + capex $952,500)</t>
        </is>
      </c>
      <c r="C24" s="6" t="n">
        <v>7622828</v>
      </c>
      <c r="D24" t="inlineStr">
        <is>
          <t>$</t>
        </is>
      </c>
      <c r="E24" s="2" t="inlineStr">
        <is>
          <t>Canonical — CONFIRMED</t>
        </is>
      </c>
    </row>
    <row r="25">
      <c r="A25" s="5" t="inlineStr">
        <is>
          <t>raise_site</t>
        </is>
      </c>
      <c r="B25" t="inlineStr">
        <is>
          <t>Project raise per site</t>
        </is>
      </c>
      <c r="C25" s="6" t="n">
        <v>15000000</v>
      </c>
      <c r="D25" t="inlineStr">
        <is>
          <t>$</t>
        </is>
      </c>
      <c r="E25" s="2" t="inlineStr">
        <is>
          <t>sponsor</t>
        </is>
      </c>
    </row>
    <row r="26">
      <c r="A26" s="5" t="inlineStr">
        <is>
          <t>company_raise</t>
        </is>
      </c>
      <c r="B26" t="inlineStr">
        <is>
          <t>Company-level raise (separate)</t>
        </is>
      </c>
      <c r="C26" s="6" t="n">
        <v>2500000</v>
      </c>
      <c r="D26" t="inlineStr">
        <is>
          <t>$</t>
        </is>
      </c>
      <c r="E26" s="2" t="inlineStr">
        <is>
          <t>sponsor</t>
        </is>
      </c>
    </row>
    <row r="27">
      <c r="A27" s="5" t="inlineStr">
        <is>
          <t>comm_share</t>
        </is>
      </c>
      <c r="B27" t="inlineStr">
        <is>
          <t>Community profit share (of EBITDA)</t>
        </is>
      </c>
      <c r="C27" s="8" t="n">
        <v>0.1</v>
      </c>
      <c r="D27" t="inlineStr">
        <is>
          <t>of EBITDA</t>
        </is>
      </c>
      <c r="E27" s="2" t="inlineStr">
        <is>
          <t>Canonical — contractual, locally directed</t>
        </is>
      </c>
    </row>
    <row r="28">
      <c r="A28" s="5" t="inlineStr">
        <is>
          <t>sites</t>
        </is>
      </c>
      <c r="B28" t="inlineStr">
        <is>
          <t>Sites in corridor</t>
        </is>
      </c>
      <c r="C28" s="7" t="n">
        <v>3</v>
      </c>
      <c r="D28" t="inlineStr">
        <is>
          <t>#</t>
        </is>
      </c>
      <c r="E28" s="2" t="inlineStr">
        <is>
          <t>Lincoln/Flint/Coleman (Coldwater = Phase 2)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3" customWidth="1" min="3" max="3"/>
    <col width="52" customWidth="1" min="4" max="4"/>
  </cols>
  <sheetData>
    <row r="1">
      <c r="A1" s="1" t="inlineStr">
        <is>
          <t>Revenue build-up (Canonical Revenue tab — executed Pro Forma)</t>
        </is>
      </c>
    </row>
    <row r="2">
      <c r="A2" s="2" t="inlineStr">
        <is>
          <t>Green = base fuel (sells today). Orange = contingent credits (RFS/45Z). Carbon black = $0 base (Flag 1).</t>
        </is>
      </c>
    </row>
    <row r="4">
      <c r="A4" s="4" t="inlineStr">
        <is>
          <t>Stream</t>
        </is>
      </c>
      <c r="B4" s="4" t="inlineStr">
        <is>
          <t>$/yr</t>
        </is>
      </c>
      <c r="C4" s="4" t="inlineStr">
        <is>
          <t>Category</t>
        </is>
      </c>
      <c r="D4" s="4" t="inlineStr">
        <is>
          <t>Note</t>
        </is>
      </c>
    </row>
    <row r="5">
      <c r="A5" s="9" t="inlineStr">
        <is>
          <t>Renewable diesel sales</t>
        </is>
      </c>
      <c r="B5" s="10">
        <f>Inputs!$C$5</f>
        <v/>
      </c>
      <c r="C5" s="11" t="inlineStr">
        <is>
          <t>BASE FUEL</t>
        </is>
      </c>
      <c r="D5" s="9" t="inlineStr">
        <is>
          <t>2,399,040 gal x $2.00 — sells on contract/market</t>
        </is>
      </c>
    </row>
    <row r="6">
      <c r="A6" s="9" t="inlineStr">
        <is>
          <t>SAF / kerosene sales</t>
        </is>
      </c>
      <c r="B6" s="10">
        <f>Inputs!$C$6</f>
        <v/>
      </c>
      <c r="C6" s="11" t="inlineStr">
        <is>
          <t>BASE FUEL</t>
        </is>
      </c>
      <c r="D6" s="9" t="inlineStr">
        <is>
          <t>2,301,120 gal x $4.50 — confirm SAF offtake + classification</t>
        </is>
      </c>
    </row>
    <row r="7">
      <c r="A7" s="9" t="inlineStr">
        <is>
          <t>D4 RIN — RD</t>
        </is>
      </c>
      <c r="B7" s="12">
        <f>Inputs!$C$7</f>
        <v/>
      </c>
      <c r="C7" s="11" t="inlineStr">
        <is>
          <t>CONTINGENT</t>
        </is>
      </c>
      <c r="D7" s="9" t="inlineStr">
        <is>
          <t>RFS registration required (Flag 3)</t>
        </is>
      </c>
    </row>
    <row r="8">
      <c r="A8" s="9" t="inlineStr">
        <is>
          <t>D7 RIN — SAF</t>
        </is>
      </c>
      <c r="B8" s="12">
        <f>Inputs!$C$8</f>
        <v/>
      </c>
      <c r="C8" s="11" t="inlineStr">
        <is>
          <t>CONTINGENT</t>
        </is>
      </c>
      <c r="D8" s="9" t="inlineStr">
        <is>
          <t>RFS registration required (Flag 3)</t>
        </is>
      </c>
    </row>
    <row r="9">
      <c r="A9" s="9" t="inlineStr">
        <is>
          <t>Section 45Z — RD</t>
        </is>
      </c>
      <c r="B9" s="12">
        <f>Inputs!$C$9</f>
        <v/>
      </c>
      <c r="C9" s="11" t="inlineStr">
        <is>
          <t>CONTINGENT</t>
        </is>
      </c>
      <c r="D9" s="9" t="inlineStr">
        <is>
          <t>45Z qualification + tax counsel (Flag 3)</t>
        </is>
      </c>
    </row>
    <row r="10">
      <c r="A10" s="9" t="inlineStr">
        <is>
          <t>Section 45Z — SAF</t>
        </is>
      </c>
      <c r="B10" s="12">
        <f>Inputs!$C$10</f>
        <v/>
      </c>
      <c r="C10" s="11" t="inlineStr">
        <is>
          <t>CONTINGENT</t>
        </is>
      </c>
      <c r="D10" s="9" t="inlineStr">
        <is>
          <t>45Z qualification + tax counsel (Flag 3)</t>
        </is>
      </c>
    </row>
    <row r="11">
      <c r="A11" s="9" t="inlineStr">
        <is>
          <t>Carbon black</t>
        </is>
      </c>
      <c r="B11" s="6">
        <f>Inputs!$C$11</f>
        <v/>
      </c>
      <c r="C11" s="11" t="inlineStr">
        <is>
          <t>UPSIDE</t>
        </is>
      </c>
      <c r="D11" s="9" t="inlineStr">
        <is>
          <t>$0 in executed Pro Forma (Flag 1); deck ~$10.125M — uncontracted</t>
        </is>
      </c>
    </row>
    <row r="13">
      <c r="A13" s="13" t="inlineStr">
        <is>
          <t>Base fuel (RD+SAF)</t>
        </is>
      </c>
      <c r="B13" s="14">
        <f>B5+B6</f>
        <v/>
      </c>
    </row>
    <row r="14">
      <c r="A14" s="13" t="inlineStr">
        <is>
          <t>Contingent credits (RIN+45Z)</t>
        </is>
      </c>
      <c r="B14" s="15">
        <f>B7+B8+B9+B10</f>
        <v/>
      </c>
    </row>
    <row r="15">
      <c r="A15" s="13" t="inlineStr">
        <is>
          <t>TOTAL REVENUE (Pro Forma)</t>
        </is>
      </c>
      <c r="B15" s="16">
        <f>B13+B14+B11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52" customWidth="1" min="4" max="4"/>
  </cols>
  <sheetData>
    <row r="1">
      <c r="A1" s="1" t="inlineStr">
        <is>
          <t>Operating cost — two cases (the diligence swing)</t>
        </is>
      </c>
    </row>
    <row r="2">
      <c r="A2" s="2" t="inlineStr">
        <is>
          <t>Pro Forma (as signed, 5 FTE / $0.20-gal feedstock) vs Operator-reality (62-FTE staffing + real feedstock).</t>
        </is>
      </c>
    </row>
    <row r="4">
      <c r="A4" s="4" t="inlineStr">
        <is>
          <t>Line</t>
        </is>
      </c>
      <c r="B4" s="4" t="inlineStr">
        <is>
          <t>Pro Forma (signed)</t>
        </is>
      </c>
      <c r="C4" s="4" t="inlineStr">
        <is>
          <t>Operator-reality</t>
        </is>
      </c>
      <c r="D4" s="4" t="inlineStr">
        <is>
          <t>Note</t>
        </is>
      </c>
    </row>
    <row r="5">
      <c r="A5" s="9" t="inlineStr">
        <is>
          <t>WasteWerx fees (monitoring+royalty)</t>
        </is>
      </c>
      <c r="B5" s="17">
        <f>Inputs!$C$12</f>
        <v/>
      </c>
      <c r="C5" s="17">
        <f>Inputs!$C$12</f>
        <v/>
      </c>
      <c r="D5" s="9" t="inlineStr">
        <is>
          <t>same</t>
        </is>
      </c>
    </row>
    <row r="6">
      <c r="A6" s="9" t="inlineStr">
        <is>
          <t>Feedstock</t>
        </is>
      </c>
      <c r="B6" s="12">
        <f>Inputs!$C$13</f>
        <v/>
      </c>
      <c r="C6" s="12">
        <f>Inputs!$C$23</f>
        <v/>
      </c>
      <c r="D6" s="9" t="inlineStr">
        <is>
          <t>PF $0.20/gal vs deck $200/ton; ERR tipping $25/ton ~ $1M — SWING</t>
        </is>
      </c>
    </row>
    <row r="7">
      <c r="A7" s="9" t="inlineStr">
        <is>
          <t>Utilities</t>
        </is>
      </c>
      <c r="B7" s="17">
        <f>Inputs!$C$14</f>
        <v/>
      </c>
      <c r="C7" s="17">
        <f>Inputs!$C$14</f>
        <v/>
      </c>
      <c r="D7" s="9" t="inlineStr">
        <is>
          <t>same</t>
        </is>
      </c>
    </row>
    <row r="8">
      <c r="A8" s="9" t="inlineStr">
        <is>
          <t>Fuel distribution &amp; shipping</t>
        </is>
      </c>
      <c r="B8" s="17">
        <f>Inputs!$C$15</f>
        <v/>
      </c>
      <c r="C8" s="17">
        <f>Inputs!$C$15</f>
        <v/>
      </c>
      <c r="D8" s="9" t="inlineStr">
        <is>
          <t>same</t>
        </is>
      </c>
    </row>
    <row r="9">
      <c r="A9" s="9" t="inlineStr">
        <is>
          <t>Operating labor</t>
        </is>
      </c>
      <c r="B9" s="12">
        <f>Inputs!$C$16</f>
        <v/>
      </c>
      <c r="C9" s="12">
        <f>Inputs!$C$20*Inputs!$C$21*Inputs!$C$22</f>
        <v/>
      </c>
      <c r="D9" s="9" t="inlineStr">
        <is>
          <t>PF 5 FTE $425k vs staffing 62 FTE $5.52M — BIGGEST SWING</t>
        </is>
      </c>
    </row>
    <row r="10">
      <c r="A10" s="9" t="inlineStr">
        <is>
          <t>Insurance</t>
        </is>
      </c>
      <c r="B10" s="17">
        <f>Inputs!$C$17</f>
        <v/>
      </c>
      <c r="C10" s="17">
        <f>Inputs!$C$17</f>
        <v/>
      </c>
      <c r="D10" s="9" t="inlineStr">
        <is>
          <t>same</t>
        </is>
      </c>
    </row>
    <row r="11">
      <c r="A11" s="9" t="inlineStr">
        <is>
          <t>Permit renewals &amp; compliance</t>
        </is>
      </c>
      <c r="B11" s="17">
        <f>Inputs!$C$18</f>
        <v/>
      </c>
      <c r="C11" s="17">
        <f>Inputs!$C$18</f>
        <v/>
      </c>
      <c r="D11" s="9" t="inlineStr">
        <is>
          <t>same</t>
        </is>
      </c>
    </row>
    <row r="12">
      <c r="A12" s="9" t="inlineStr">
        <is>
          <t>G&amp;A overhead</t>
        </is>
      </c>
      <c r="B12" s="17">
        <f>Inputs!$C$19</f>
        <v/>
      </c>
      <c r="C12" s="17">
        <f>Inputs!$C$19</f>
        <v/>
      </c>
      <c r="D12" s="9" t="inlineStr">
        <is>
          <t>same</t>
        </is>
      </c>
    </row>
    <row r="13">
      <c r="A13" s="13" t="inlineStr">
        <is>
          <t>TOTAL OPEX</t>
        </is>
      </c>
      <c r="B13" s="14">
        <f>SUM(B5:B12)</f>
        <v/>
      </c>
      <c r="C13" s="15">
        <f>SUM(C5:C12)</f>
        <v/>
      </c>
    </row>
    <row r="14">
      <c r="A14" s="13" t="inlineStr">
        <is>
          <t>Delta (operator-reality - pro forma)</t>
        </is>
      </c>
      <c r="C14" s="18">
        <f>C13-B13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6" customWidth="1" min="6" max="6"/>
  </cols>
  <sheetData>
    <row r="1">
      <c r="A1" s="1" t="inlineStr">
        <is>
          <t>EBITDA matrix — revenue case x opex case (the honest range)</t>
        </is>
      </c>
    </row>
    <row r="2">
      <c r="A2" s="2" t="inlineStr">
        <is>
          <t>Pro Forma-as-signed is one cell. The rest is the diligence reality. Community share = 10% of EBITDA.</t>
        </is>
      </c>
    </row>
    <row r="4">
      <c r="A4" s="4" t="inlineStr">
        <is>
          <t>Revenue case</t>
        </is>
      </c>
      <c r="B4" s="4" t="inlineStr">
        <is>
          <t>Revenue</t>
        </is>
      </c>
      <c r="C4" s="4" t="inlineStr">
        <is>
          <t>Opex (Pro Forma)</t>
        </is>
      </c>
      <c r="D4" s="4" t="inlineStr">
        <is>
          <t>EBITDA (PF)</t>
        </is>
      </c>
      <c r="E4" s="4" t="inlineStr">
        <is>
          <t>Opex (Operator)</t>
        </is>
      </c>
      <c r="F4" s="4" t="inlineStr">
        <is>
          <t>EBITDA (Operator)</t>
        </is>
      </c>
    </row>
    <row r="5">
      <c r="A5" s="9" t="inlineStr">
        <is>
          <t>Base fuel only (no credits, no CB)</t>
        </is>
      </c>
      <c r="B5" s="17">
        <f>Revenue!$B$13</f>
        <v/>
      </c>
      <c r="C5" s="17">
        <f>Opex!$B$13</f>
        <v/>
      </c>
      <c r="D5" s="19">
        <f>B5-C5</f>
        <v/>
      </c>
      <c r="E5" s="17">
        <f>Opex!$C$13</f>
        <v/>
      </c>
      <c r="F5" s="20">
        <f>B5-E5</f>
        <v/>
      </c>
    </row>
    <row r="6">
      <c r="A6" s="9" t="inlineStr">
        <is>
          <t>Fuel + credits (Pro Forma total)</t>
        </is>
      </c>
      <c r="B6" s="17">
        <f>Revenue!$B$15</f>
        <v/>
      </c>
      <c r="C6" s="17">
        <f>Opex!$B$13</f>
        <v/>
      </c>
      <c r="D6" s="19">
        <f>B6-C6</f>
        <v/>
      </c>
      <c r="E6" s="17">
        <f>Opex!$C$13</f>
        <v/>
      </c>
      <c r="F6" s="20">
        <f>B6-E6</f>
        <v/>
      </c>
    </row>
    <row r="8">
      <c r="A8" s="13" t="inlineStr">
        <is>
          <t>SIGNED HEADLINE = Fuel+credits @ Pro Forma opex</t>
        </is>
      </c>
      <c r="B8" s="21">
        <f>Revenue!$B$15</f>
        <v/>
      </c>
      <c r="D8" s="16">
        <f>D6</f>
        <v/>
      </c>
    </row>
    <row r="9">
      <c r="A9" s="13" t="inlineStr">
        <is>
          <t>DILIGENCE REALITY = Fuel+credits @ operator opex</t>
        </is>
      </c>
      <c r="F9" s="22">
        <f>F6</f>
        <v/>
      </c>
    </row>
    <row r="10">
      <c r="A10" s="13" t="inlineStr">
        <is>
          <t>WITHOUT CREDITS @ operator opex (the floor)</t>
        </is>
      </c>
      <c r="F10" s="23">
        <f>F5</f>
        <v/>
      </c>
    </row>
    <row r="12">
      <c r="A12" s="13" t="inlineStr">
        <is>
          <t>Community profit share (10% of signed EBITDA)</t>
        </is>
      </c>
      <c r="D12" s="21">
        <f>D6*Inputs!$C$27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8" customWidth="1" min="4" max="4"/>
  </cols>
  <sheetData>
    <row r="1">
      <c r="A1" s="1" t="inlineStr">
        <is>
          <t>3-site corridor rollup (Lincoln/Flint/Coleman)</t>
        </is>
      </c>
    </row>
    <row r="2">
      <c r="A2" s="2" t="inlineStr">
        <is>
          <t>Both the signed headline and the operator-reality EBITDA, x3.</t>
        </is>
      </c>
    </row>
    <row r="4">
      <c r="A4" s="4" t="inlineStr">
        <is>
          <t>Metric</t>
        </is>
      </c>
      <c r="B4" s="4" t="inlineStr">
        <is>
          <t>Per site</t>
        </is>
      </c>
      <c r="C4" s="4" t="inlineStr">
        <is>
          <t>x Sites</t>
        </is>
      </c>
      <c r="D4" s="4" t="inlineStr">
        <is>
          <t>Corridor total</t>
        </is>
      </c>
    </row>
    <row r="5">
      <c r="A5" s="9" t="inlineStr">
        <is>
          <t>Total revenue (Pro Forma)</t>
        </is>
      </c>
      <c r="B5" s="17">
        <f>Revenue!$B$15</f>
        <v/>
      </c>
      <c r="C5" s="11">
        <f>Inputs!$C$28</f>
        <v/>
      </c>
      <c r="D5" s="24">
        <f>B5*C5</f>
        <v/>
      </c>
    </row>
    <row r="6">
      <c r="A6" s="9" t="inlineStr">
        <is>
          <t>EBITDA — signed (PF opex)</t>
        </is>
      </c>
      <c r="B6" s="17">
        <f>'P&amp;L'!D6</f>
        <v/>
      </c>
      <c r="C6" s="11">
        <f>Inputs!$C$28</f>
        <v/>
      </c>
      <c r="D6" s="19">
        <f>B6*C6</f>
        <v/>
      </c>
    </row>
    <row r="7">
      <c r="A7" s="9" t="inlineStr">
        <is>
          <t>EBITDA — operator-reality</t>
        </is>
      </c>
      <c r="B7" s="17">
        <f>'P&amp;L'!F6</f>
        <v/>
      </c>
      <c r="C7" s="11">
        <f>Inputs!$C$28</f>
        <v/>
      </c>
      <c r="D7" s="20">
        <f>B7*C7</f>
        <v/>
      </c>
    </row>
    <row r="8">
      <c r="A8" s="9" t="inlineStr">
        <is>
          <t>EBITDA — base fuel only @ operator opex</t>
        </is>
      </c>
      <c r="B8" s="17">
        <f>'P&amp;L'!F5</f>
        <v/>
      </c>
      <c r="C8" s="11">
        <f>Inputs!$C$28</f>
        <v/>
      </c>
      <c r="D8" s="20">
        <f>B8*C8</f>
        <v/>
      </c>
    </row>
    <row r="9">
      <c r="A9" s="9" t="inlineStr">
        <is>
          <t>Year 1 cash out</t>
        </is>
      </c>
      <c r="B9" s="17">
        <f>Inputs!$C$24</f>
        <v/>
      </c>
      <c r="C9" s="11">
        <f>Inputs!$C$28</f>
        <v/>
      </c>
      <c r="D9" s="24">
        <f>B9*C9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56" customWidth="1" min="3" max="3"/>
  </cols>
  <sheetData>
    <row r="1">
      <c r="A1" s="1" t="inlineStr">
        <is>
          <t>Capital &amp; the two raises</t>
        </is>
      </c>
    </row>
    <row r="2">
      <c r="A2" s="2" t="inlineStr">
        <is>
          <t>Site capital != company capital. Year 1 cash out is confirmed.</t>
        </is>
      </c>
    </row>
    <row r="4">
      <c r="A4" s="4" t="inlineStr">
        <is>
          <t>Item</t>
        </is>
      </c>
      <c r="B4" s="4" t="inlineStr">
        <is>
          <t>Amount</t>
        </is>
      </c>
      <c r="C4" s="4" t="inlineStr">
        <is>
          <t>Note</t>
        </is>
      </c>
    </row>
    <row r="5">
      <c r="A5" s="25" t="inlineStr">
        <is>
          <t>Year 1 cash out per site</t>
        </is>
      </c>
      <c r="B5" s="26">
        <f>Inputs!$C$24</f>
        <v/>
      </c>
      <c r="C5" s="9" t="inlineStr">
        <is>
          <t>CONFIRMED (WasteWerx $6,670,328 + capex $952,500)</t>
        </is>
      </c>
    </row>
    <row r="6">
      <c r="A6" s="25" t="inlineStr">
        <is>
          <t>Project raise per site</t>
        </is>
      </c>
      <c r="B6" s="26">
        <f>Inputs!$C$25</f>
        <v/>
      </c>
      <c r="C6" s="9" t="inlineStr">
        <is>
          <t>sponsor headline</t>
        </is>
      </c>
    </row>
    <row r="7">
      <c r="A7" s="25" t="inlineStr">
        <is>
          <t>Project raises — 3 sites</t>
        </is>
      </c>
      <c r="B7" s="26">
        <f>Inputs!$C$25*Inputs!$C$28</f>
        <v/>
      </c>
      <c r="C7" s="9" t="inlineStr">
        <is>
          <t>excludes company raise</t>
        </is>
      </c>
    </row>
    <row r="8">
      <c r="A8" s="25" t="inlineStr">
        <is>
          <t>Company-level raise (separate)</t>
        </is>
      </c>
      <c r="B8" s="26">
        <f>Inputs!$C$26</f>
        <v/>
      </c>
      <c r="C8" s="9" t="inlineStr">
        <is>
          <t>working capital, payroll, PL gov, team [CONFIRM split]</t>
        </is>
      </c>
    </row>
    <row r="9">
      <c r="A9" s="25" t="inlineStr">
        <is>
          <t>Combined discussion envelope</t>
        </is>
      </c>
      <c r="B9" s="26">
        <f>Inputs!$C$25*Inputs!$C$28+Inputs!$C$26</f>
        <v/>
      </c>
      <c r="C9" s="9" t="inlineStr">
        <is>
          <t>present asks separately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Open items (commercial, not modeling) + structure flags + support letters</t>
        </is>
      </c>
    </row>
    <row r="2">
      <c r="A2" s="2" t="inlineStr">
        <is>
          <t>From Canonical Flags + Reconciliation discrepancy log + Investor Brief.</t>
        </is>
      </c>
    </row>
    <row r="4">
      <c r="A4" s="3" t="inlineStr">
        <is>
          <t>REVENUE / OPEX (the diligence questions)</t>
        </is>
      </c>
    </row>
    <row r="5">
      <c r="A5" s="2" t="inlineStr">
        <is>
          <t xml:space="preserve">  * Flag 1 — Carbon black: $0 in executed Pro Forma; deck implied ~$10.125M. Feedstock Yield Model rates tires 32% carbon</t>
        </is>
      </c>
    </row>
    <row r="6">
      <c r="A6" s="2" t="inlineStr">
        <is>
          <t xml:space="preserve">    co-product (graphene-precursor grade) — REAL but UNCONTRACTED. Upside only until grade + price contracted.</t>
        </is>
      </c>
    </row>
    <row r="7">
      <c r="A7" s="2" t="inlineStr">
        <is>
          <t xml:space="preserve">  * Flag 3 — RFS / 45Z: $20,428,560 of the $35.58M is RIN + 45Z. Requires EPA RFS pathway petition + 3rd-party engineering</t>
        </is>
      </c>
    </row>
    <row r="8">
      <c r="A8" s="2" t="inlineStr">
        <is>
          <t xml:space="preserve">    review + favorable 45Z CI. Without registration, this revenue does not exist. Phase 1 workstream.</t>
        </is>
      </c>
    </row>
    <row r="9">
      <c r="A9" s="2" t="inlineStr">
        <is>
          <t xml:space="preserve">  * STAFFING TENSION: Pro Forma opex uses 4 FTE + manager ($425k); WasteWerx STAFFING pro forma says 62 FTE ($5.52M).</t>
        </is>
      </c>
    </row>
    <row r="10">
      <c r="A10" s="2" t="inlineStr">
        <is>
          <t xml:space="preserve">    This single swing moves EBITDA from $30.2M (signed) to ~$22M (operator-reality). Resolve actual headcount with WasteWerx.</t>
        </is>
      </c>
    </row>
    <row r="11">
      <c r="A11" s="2" t="inlineStr">
        <is>
          <t xml:space="preserve">  * FEEDSTOCK SWING: Pro Forma $0.20/gal ($940k) vs deck $200/ton ($3.72M) vs ERR $25/ton tipping (~$1M). Confirm with Robert.</t>
        </is>
      </c>
    </row>
    <row r="12">
      <c r="A12" s="2" t="inlineStr"/>
    </row>
    <row r="13">
      <c r="A13" s="3" t="inlineStr">
        <is>
          <t>STRUCTURE / LEGAL (Canonical AUTHORITY/TRANSFER flags)</t>
        </is>
      </c>
    </row>
    <row r="14">
      <c r="A14" s="2" t="inlineStr">
        <is>
          <t xml:space="preserve">  * Flag 2 — License NOT depreciable: title stays with WasteWerx; no transfer on EM&amp;S dissolution. Brief Walton before any</t>
        </is>
      </c>
    </row>
    <row r="15">
      <c r="A15" s="2" t="inlineStr">
        <is>
          <t xml:space="preserve">    DCF/investor return model. Address transfer in SPV structure. IoT-metered royalty -&gt; audit rights in operating agreement.</t>
        </is>
      </c>
    </row>
    <row r="16">
      <c r="A16" s="2" t="inlineStr">
        <is>
          <t xml:space="preserve">  * MAR Year 1 = 70% of nameplate (not 80%); Year 2+ = 80%. Early termination after Yr3: current MAR + 50% next-year MAR.</t>
        </is>
      </c>
    </row>
    <row r="17">
      <c r="A17" s="2" t="inlineStr">
        <is>
          <t xml:space="preserve">  * Securities: investor structures (deck $3.5M/yr 4yr vs agreement $5M/yr + balloon = $40M) are unreconciled AND likely</t>
        </is>
      </c>
    </row>
    <row r="18">
      <c r="A18" s="2" t="inlineStr">
        <is>
          <t xml:space="preserve">    securities offerings with no Reg D / PPM / sub docs. Securities counsel before any investor circulation. PL = governance,</t>
        </is>
      </c>
    </row>
    <row r="19">
      <c r="A19" s="2" t="inlineStr">
        <is>
          <t xml:space="preserve">    NOT placement agent; fee fixed/non-contingent.</t>
        </is>
      </c>
    </row>
    <row r="20">
      <c r="A20" s="2" t="inlineStr">
        <is>
          <t xml:space="preserve">  * Revenue distribution: agreement allocates only 54.5% (Operator 21 + Owner 12 + Supplier 1.5 + REIT 20); 45.5% undefined.</t>
        </is>
      </c>
    </row>
    <row r="21">
      <c r="A21" s="2" t="inlineStr"/>
    </row>
    <row r="22">
      <c r="A22" s="3" t="inlineStr">
        <is>
          <t>CONFIRMED SUPPORT / DOCUMENTS ON FILE</t>
        </is>
      </c>
    </row>
    <row r="23">
      <c r="A23" s="2" t="inlineStr">
        <is>
          <t xml:space="preserve">  * Geocycle (Paolo Carollo) — letter of support 1/26/26. University of Arizona (Dr. Joel Cuello) — support 2/10/26.</t>
        </is>
      </c>
    </row>
    <row r="24">
      <c r="A24" s="2" t="inlineStr">
        <is>
          <t xml:space="preserve">  * Acadia Capital (Brien Walton) — advisory validation 5/8/26. WasteWerx mutual NDA executed 5/18/26.</t>
        </is>
      </c>
    </row>
    <row r="25">
      <c r="A25" s="2" t="inlineStr">
        <is>
          <t xml:space="preserve">  * ERR — 10-yr feedstock supply, 40,000 t/yr at $25/ton tipping (Dort Hwy). Lake State Railway — rail logistics.</t>
        </is>
      </c>
    </row>
    <row r="26">
      <c r="A26" s="2" t="inlineStr"/>
    </row>
    <row r="27">
      <c r="A27" s="2" t="inlineStr">
        <is>
          <t>Not financial/legal/securities/tax advice. Keyed to executed Pro Forma; resolve flags before investor circulation.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2026-06-05T08:47:12Z</dcterms:created>
  <dcterms:modified xmlns:dcterms="http://purl.org/dc/terms/" xmlns:xsi="http://www.w3.org/2001/XMLSchema-instance" xsi:type="dcterms:W3CDTF">2026-06-05T08:47:12Z</dcterms:modified>
</cp:coreProperties>
</file>