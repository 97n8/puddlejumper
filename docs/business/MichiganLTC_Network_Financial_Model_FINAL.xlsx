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ex_BuildUp" sheetId="3" state="visible" r:id="rId3"/>
    <sheet xmlns:r="http://schemas.openxmlformats.org/officeDocument/2006/relationships" name="Per_Site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Raises" sheetId="6" state="visible" r:id="rId6"/>
    <sheet xmlns:r="http://schemas.openxmlformats.org/officeDocument/2006/relationships" name="Cave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55555"/>
      <sz val="9"/>
    </font>
    <font>
      <b val="1"/>
      <color rgb="001F4E5F"/>
      <sz val="11"/>
    </font>
    <font>
      <b val="1"/>
      <color rgb="00FFFFFF"/>
    </font>
    <font>
      <b val="1"/>
      <color rgb="00888888"/>
      <sz val="9"/>
    </font>
    <font>
      <b val="1"/>
    </font>
    <font>
      <b val="1"/>
      <color rgb="007A1F1F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1" fontId="0" fillId="3" borderId="1" pivotButton="0" quotePrefix="0" xfId="0"/>
    <xf numFmtId="2" fontId="0" fillId="3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vertical="top" wrapText="1"/>
    </xf>
    <xf numFmtId="3" fontId="0" fillId="4" borderId="1" pivotButton="0" quotePrefix="0" xfId="0"/>
    <xf numFmtId="3" fontId="0" fillId="5" borderId="1" pivotButton="0" quotePrefix="0" xfId="0"/>
    <xf numFmtId="0" fontId="6" fillId="0" borderId="0" pivotButton="0" quotePrefix="0" xfId="0"/>
    <xf numFmtId="3" fontId="6" fillId="5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3" fontId="6" fillId="4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6" fillId="5" borderId="1" pivotButton="0" quotePrefix="0" xfId="0"/>
    <xf numFmtId="3" fontId="6" fillId="4" borderId="1" pivotButton="0" quotePrefix="0" xfId="0"/>
    <xf numFmtId="3" fontId="0" fillId="4" borderId="0" pivotButton="0" quotePrefix="0" xfId="0"/>
    <xf numFmtId="0" fontId="0" fillId="0" borderId="1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Michigan LTC Network — Reconciled Financial Model (FINAL working)</t>
        </is>
      </c>
    </row>
    <row r="2">
      <c r="A2" s="2" t="inlineStr">
        <is>
          <t>Base case (fuel + carbon black) anchors the headline; RIN + Section 45Z shown separately as contingent upside. Yellow = editable inputs. Green = defensible base. Orange = contingent. Date 2026-06-03. Not financial/legal/tax advice.</t>
        </is>
      </c>
    </row>
    <row r="4">
      <c r="A4" t="inlineStr"/>
    </row>
    <row r="5">
      <c r="A5" s="3" t="inlineStr">
        <is>
          <t>THE RECONCILIATION (why this model)</t>
        </is>
      </c>
    </row>
    <row r="6">
      <c r="A6" t="inlineStr">
        <is>
          <t xml:space="preserve">  The signed WasteWerx Model 3 headline (~$35.58M rev / ~$30.2M EBITDA per site) depends on ~$20.4M of</t>
        </is>
      </c>
    </row>
    <row r="7">
      <c r="A7" t="inlineStr">
        <is>
          <t xml:space="preserve">  RIN + Section 45Z credits that are NOT secured (registration, eligibility, monetization, counsel/tax review</t>
        </is>
      </c>
    </row>
    <row r="8">
      <c r="A8" t="inlineStr">
        <is>
          <t xml:space="preserve">  all required). This model anchors a DEFENSIBLE base case and shows credits separately as contingent upside.</t>
        </is>
      </c>
    </row>
    <row r="9">
      <c r="A9" t="inlineStr"/>
    </row>
    <row r="10">
      <c r="A10" s="3" t="inlineStr">
        <is>
          <t>HOW TO READ</t>
        </is>
      </c>
    </row>
    <row r="11">
      <c r="A11" t="inlineStr">
        <is>
          <t xml:space="preserve">  Per_Site  - line-by-line revenue build-up + 4 scenarios (conservative base, upgraded base, signed headline,</t>
        </is>
      </c>
    </row>
    <row r="12">
      <c r="A12" t="inlineStr">
        <is>
          <t xml:space="preserve">              full stack) with EBITDA each, and the per-site capital bridge.</t>
        </is>
      </c>
    </row>
    <row r="13">
      <c r="A13" t="inlineStr">
        <is>
          <t xml:space="preserve">  Network   - 3-site rollup.</t>
        </is>
      </c>
    </row>
    <row r="14">
      <c r="A14" t="inlineStr">
        <is>
          <t xml:space="preserve">  Raises    - $15M/site project raise + use-of-funds reconciliation; separate $2.5M company raise.</t>
        </is>
      </c>
    </row>
    <row r="15">
      <c r="A15" t="inlineStr">
        <is>
          <t xml:space="preserve">  Caveats   - what must be confirmed / reviewed before any investor-facing use.</t>
        </is>
      </c>
    </row>
    <row r="16">
      <c r="A16" t="inlineStr"/>
    </row>
    <row r="17">
      <c r="A17" s="3" t="inlineStr">
        <is>
          <t>THE SAFE INVESTOR HEADLINE</t>
        </is>
      </c>
    </row>
    <row r="18">
      <c r="A18" t="inlineStr">
        <is>
          <t xml:space="preserve">  Lead with BASE EBITDA (no credits). Show RIN/45Z as labeled contingent upside with a footnote. Do NOT make</t>
        </is>
      </c>
    </row>
    <row r="19">
      <c r="A19" t="inlineStr">
        <is>
          <t xml:space="preserve">  the deck depend on credits that are not secured. This keeps the opportunity big and survives diligence.</t>
        </is>
      </c>
    </row>
    <row r="20">
      <c r="A20" t="inlineStr"/>
    </row>
    <row r="21">
      <c r="A21" s="3" t="inlineStr">
        <is>
          <t>GUARDRAILS</t>
        </is>
      </c>
    </row>
    <row r="22">
      <c r="A22" t="inlineStr">
        <is>
          <t xml:space="preserve">  * Carbon black is INCLUDED in this base case as a real saleable product (the signed model excluded it). [CONFIRM price/offtake]</t>
        </is>
      </c>
    </row>
    <row r="23">
      <c r="A23" t="inlineStr">
        <is>
          <t xml:space="preserve">  * SAF/kerosene classification, RFS pathway (D4/D7 RIN), and 45Z eligibility require registration + tax counsel.</t>
        </is>
      </c>
    </row>
    <row r="24">
      <c r="A24" t="inlineStr">
        <is>
          <t xml:space="preserve">  * Securities offering: not an offer; counsel review required; PublicLogic = governance, NOT placement agent; fee fixed/non-contingent.</t>
        </is>
      </c>
    </row>
    <row r="25">
      <c r="A25" t="inlineStr">
        <is>
          <t xml:space="preserve">  * Figures trace to the canonical workbook / signed pro forma; verify before circulation.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2" customWidth="1" min="4" max="4"/>
    <col width="52" customWidth="1" min="5" max="5"/>
  </cols>
  <sheetData>
    <row r="1">
      <c r="A1" s="1" t="inlineStr">
        <is>
          <t>Inputs — editable assumptions (per site)</t>
        </is>
      </c>
    </row>
    <row r="2">
      <c r="A2" s="2" t="inlineStr">
        <is>
          <t>Edit yellow cells; everything else recalculates. [CONFIRM] = verify before investor use.</t>
        </is>
      </c>
    </row>
    <row r="4">
      <c r="A4" s="4" t="inlineStr">
        <is>
          <t>Key</t>
        </is>
      </c>
      <c r="B4" s="4" t="inlineStr">
        <is>
          <t>Assumption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Source / note</t>
        </is>
      </c>
    </row>
    <row r="5">
      <c r="A5" s="5" t="inlineStr">
        <is>
          <t>tpd</t>
        </is>
      </c>
      <c r="B5" t="inlineStr">
        <is>
          <t>Feedstock throughput</t>
        </is>
      </c>
      <c r="C5" s="6" t="n">
        <v>100</v>
      </c>
      <c r="D5" t="inlineStr">
        <is>
          <t>MT/day</t>
        </is>
      </c>
      <c r="E5" s="2" t="inlineStr">
        <is>
          <t>WasteWerx model</t>
        </is>
      </c>
    </row>
    <row r="6">
      <c r="A6" s="5" t="inlineStr">
        <is>
          <t>days</t>
        </is>
      </c>
      <c r="B6" t="inlineStr">
        <is>
          <t>Operating days</t>
        </is>
      </c>
      <c r="C6" s="6" t="n">
        <v>300</v>
      </c>
      <c r="D6" t="inlineStr">
        <is>
          <t>days/yr</t>
        </is>
      </c>
      <c r="E6" s="2" t="inlineStr">
        <is>
          <t>WasteWerx model</t>
        </is>
      </c>
    </row>
    <row r="7">
      <c r="A7" s="5" t="inlineStr">
        <is>
          <t>oil_yield</t>
        </is>
      </c>
      <c r="B7" t="inlineStr">
        <is>
          <t>Oil/fuel yield</t>
        </is>
      </c>
      <c r="C7" s="7" t="n">
        <v>0.45</v>
      </c>
      <c r="D7" t="inlineStr">
        <is>
          <t>of feedstock</t>
        </is>
      </c>
      <c r="E7" s="2" t="inlineStr">
        <is>
          <t>WasteWerx model</t>
        </is>
      </c>
    </row>
    <row r="8">
      <c r="A8" s="5" t="inlineStr">
        <is>
          <t>cb_yield</t>
        </is>
      </c>
      <c r="B8" t="inlineStr">
        <is>
          <t>Carbon black yield</t>
        </is>
      </c>
      <c r="C8" s="7" t="n">
        <v>0.45</v>
      </c>
      <c r="D8" t="inlineStr">
        <is>
          <t>of feedstock</t>
        </is>
      </c>
      <c r="E8" s="2" t="inlineStr">
        <is>
          <t>WasteWerx model</t>
        </is>
      </c>
    </row>
    <row r="9">
      <c r="A9" s="5" t="inlineStr">
        <is>
          <t>oil_price</t>
        </is>
      </c>
      <c r="B9" t="inlineStr">
        <is>
          <t>Pyrolysis oil price (conservative/market)</t>
        </is>
      </c>
      <c r="C9" s="6" t="n">
        <v>500</v>
      </c>
      <c r="D9" t="inlineStr">
        <is>
          <t>$/MT</t>
        </is>
      </c>
      <c r="E9" s="2" t="inlineStr">
        <is>
          <t>market-grounded base [CONFIRM contract]</t>
        </is>
      </c>
    </row>
    <row r="10">
      <c r="A10" s="5" t="inlineStr">
        <is>
          <t>cb_price</t>
        </is>
      </c>
      <c r="B10" t="inlineStr">
        <is>
          <t>Carbon black price</t>
        </is>
      </c>
      <c r="C10" s="6" t="n">
        <v>750</v>
      </c>
      <c r="D10" t="inlineStr">
        <is>
          <t>$/MT</t>
        </is>
      </c>
      <c r="E10" s="2" t="inlineStr">
        <is>
          <t>[CONFIRM market price + offtake]</t>
        </is>
      </c>
    </row>
    <row r="11">
      <c r="A11" s="5" t="inlineStr">
        <is>
          <t>rd_rev</t>
        </is>
      </c>
      <c r="B11" t="inlineStr">
        <is>
          <t>Upgraded fuel: Renewable diesel revenue</t>
        </is>
      </c>
      <c r="C11" s="8" t="n">
        <v>4798080</v>
      </c>
      <c r="D11" t="inlineStr">
        <is>
          <t>$/yr</t>
        </is>
      </c>
      <c r="E11" s="2" t="inlineStr">
        <is>
          <t>signed Model 3 [requires distillation+offtake]</t>
        </is>
      </c>
    </row>
    <row r="12">
      <c r="A12" s="5" t="inlineStr">
        <is>
          <t>saf_rev</t>
        </is>
      </c>
      <c r="B12" t="inlineStr">
        <is>
          <t>Upgraded fuel: SAF/kerosene revenue</t>
        </is>
      </c>
      <c r="C12" s="8" t="n">
        <v>10355040</v>
      </c>
      <c r="D12" t="inlineStr">
        <is>
          <t>$/yr</t>
        </is>
      </c>
      <c r="E12" s="2" t="inlineStr">
        <is>
          <t>signed Model 3 [CONFIRM product classification]</t>
        </is>
      </c>
    </row>
    <row r="13">
      <c r="A13" s="5" t="inlineStr">
        <is>
          <t>d4_rin</t>
        </is>
      </c>
      <c r="B13" t="inlineStr">
        <is>
          <t>D4 RIN value (CONTINGENT)</t>
        </is>
      </c>
      <c r="C13" s="8" t="n">
        <v>4798080</v>
      </c>
      <c r="D13" t="inlineStr">
        <is>
          <t>$/yr</t>
        </is>
      </c>
      <c r="E13" s="2" t="inlineStr">
        <is>
          <t>signed Model 3 [RFS registration required]</t>
        </is>
      </c>
    </row>
    <row r="14">
      <c r="A14" s="5" t="inlineStr">
        <is>
          <t>d7_rin</t>
        </is>
      </c>
      <c r="B14" t="inlineStr">
        <is>
          <t>D7 RIN value (CONTINGENT)</t>
        </is>
      </c>
      <c r="C14" s="8" t="n">
        <v>9204480</v>
      </c>
      <c r="D14" t="inlineStr">
        <is>
          <t>$/yr</t>
        </is>
      </c>
      <c r="E14" s="2" t="inlineStr">
        <is>
          <t>signed Model 3 [RFS registration required]</t>
        </is>
      </c>
    </row>
    <row r="15">
      <c r="A15" s="5" t="inlineStr">
        <is>
          <t>z45_rd</t>
        </is>
      </c>
      <c r="B15" t="inlineStr">
        <is>
          <t>Section 45Z value - RD (CONTINGENT)</t>
        </is>
      </c>
      <c r="C15" s="8" t="n">
        <v>2399040</v>
      </c>
      <c r="D15" t="inlineStr">
        <is>
          <t>$/yr</t>
        </is>
      </c>
      <c r="E15" s="2" t="inlineStr">
        <is>
          <t>signed Model 3 [eligibility + tax counsel]</t>
        </is>
      </c>
    </row>
    <row r="16">
      <c r="A16" s="5" t="inlineStr">
        <is>
          <t>z45_saf</t>
        </is>
      </c>
      <c r="B16" t="inlineStr">
        <is>
          <t>Section 45Z value - SAF (CONTINGENT)</t>
        </is>
      </c>
      <c r="C16" s="8" t="n">
        <v>4026960</v>
      </c>
      <c r="D16" t="inlineStr">
        <is>
          <t>$/yr</t>
        </is>
      </c>
      <c r="E16" s="2" t="inlineStr">
        <is>
          <t>signed Model 3 [eligibility + tax counsel]</t>
        </is>
      </c>
    </row>
    <row r="17">
      <c r="A17" s="5" t="inlineStr">
        <is>
          <t>labor_fl</t>
        </is>
      </c>
      <c r="B17" t="inlineStr">
        <is>
          <t>Site labor — total loaded, 62 FTE (FL basis)</t>
        </is>
      </c>
      <c r="C17" s="8" t="n">
        <v>5522400</v>
      </c>
      <c r="D17" t="inlineStr">
        <is>
          <t>$/yr</t>
        </is>
      </c>
      <c r="E17" s="2" t="inlineStr">
        <is>
          <t>WasteWerx Staffing Pro Forma (uploaded); FL market</t>
        </is>
      </c>
    </row>
    <row r="18">
      <c r="A18" s="5" t="inlineStr">
        <is>
          <t>mi_adj</t>
        </is>
      </c>
      <c r="B18" t="inlineStr">
        <is>
          <t>Michigan labor adjustment factor</t>
        </is>
      </c>
      <c r="C18" s="7" t="n">
        <v>1.05</v>
      </c>
      <c r="D18" t="inlineStr">
        <is>
          <t>x</t>
        </is>
      </c>
      <c r="E18" s="2" t="inlineStr">
        <is>
          <t>FL-&gt;MI cost-of-living [Robert to set]</t>
        </is>
      </c>
    </row>
    <row r="19">
      <c r="A19" s="5" t="inlineStr">
        <is>
          <t>xtrain</t>
        </is>
      </c>
      <c r="B19" t="inlineStr">
        <is>
          <t>Cross-training / headcount efficiency factor</t>
        </is>
      </c>
      <c r="C19" s="7" t="n">
        <v>1</v>
      </c>
      <c r="D19" t="inlineStr">
        <is>
          <t>x</t>
        </is>
      </c>
      <c r="E19" s="2" t="inlineStr">
        <is>
          <t>WasteWerx (V.Tizio 5/27): staffing is WORST-CASE; cross-training reduces it [set &lt;1.0]</t>
        </is>
      </c>
    </row>
    <row r="20">
      <c r="A20" s="5" t="inlineStr">
        <is>
          <t>feedstock</t>
        </is>
      </c>
      <c r="B20" t="inlineStr">
        <is>
          <t>Net feedstock cost (negative if tipping-fee positive)</t>
        </is>
      </c>
      <c r="C20" s="6" t="n">
        <v>0</v>
      </c>
      <c r="D20" t="inlineStr">
        <is>
          <t>$/yr</t>
        </is>
      </c>
      <c r="E20" s="2" t="inlineStr">
        <is>
          <t>[CONFIRM — tires may carry tipping fees]</t>
        </is>
      </c>
    </row>
    <row r="21">
      <c r="A21" s="5" t="inlineStr">
        <is>
          <t>utilities</t>
        </is>
      </c>
      <c r="B21" t="inlineStr">
        <is>
          <t>Utilities / energy (net of syngas self-supply)</t>
        </is>
      </c>
      <c r="C21" s="8" t="n">
        <v>1200000</v>
      </c>
      <c r="D21" t="inlineStr">
        <is>
          <t>$/yr</t>
        </is>
      </c>
      <c r="E21" s="2" t="inlineStr">
        <is>
          <t>ESTIMATE [CONFIRM]</t>
        </is>
      </c>
    </row>
    <row r="22">
      <c r="A22" s="5" t="inlineStr">
        <is>
          <t>maint</t>
        </is>
      </c>
      <c r="B22" t="inlineStr">
        <is>
          <t>Maintenance materials + contract maintenance</t>
        </is>
      </c>
      <c r="C22" s="8" t="n">
        <v>500000</v>
      </c>
      <c r="D22" t="inlineStr">
        <is>
          <t>$/yr</t>
        </is>
      </c>
      <c r="E22" s="2" t="inlineStr">
        <is>
          <t>ESTIMATE [CONFIRM]</t>
        </is>
      </c>
    </row>
    <row r="23">
      <c r="A23" s="5" t="inlineStr">
        <is>
          <t>insurance</t>
        </is>
      </c>
      <c r="B23" t="inlineStr">
        <is>
          <t>Insurance (industrial)</t>
        </is>
      </c>
      <c r="C23" s="8" t="n">
        <v>400000</v>
      </c>
      <c r="D23" t="inlineStr">
        <is>
          <t>$/yr</t>
        </is>
      </c>
      <c r="E23" s="2" t="inlineStr">
        <is>
          <t>ESTIMATE [CONFIRM]</t>
        </is>
      </c>
    </row>
    <row r="24">
      <c r="A24" s="5" t="inlineStr">
        <is>
          <t>contracted</t>
        </is>
      </c>
      <c r="B24" t="inlineStr">
        <is>
          <t>Contracted svcs (security/janitorial/IT/3rd-party MRV verification)</t>
        </is>
      </c>
      <c r="C24" s="8" t="n">
        <v>350000</v>
      </c>
      <c r="D24" t="inlineStr">
        <is>
          <t>$/yr</t>
        </is>
      </c>
      <c r="E24" s="2" t="inlineStr">
        <is>
          <t>NOT in staffing pro forma — budget separately [CONFIRM]</t>
        </is>
      </c>
    </row>
    <row r="25">
      <c r="A25" s="5" t="inlineStr">
        <is>
          <t>ga</t>
        </is>
      </c>
      <c r="B25" t="inlineStr">
        <is>
          <t>G&amp;A / SG&amp;A (corporate alloc, legal, accounting, software)</t>
        </is>
      </c>
      <c r="C25" s="8" t="n">
        <v>750000</v>
      </c>
      <c r="D25" t="inlineStr">
        <is>
          <t>$/yr</t>
        </is>
      </c>
      <c r="E25" s="2" t="inlineStr">
        <is>
          <t>ESTIMATE [CONFIRM]</t>
        </is>
      </c>
    </row>
    <row r="26">
      <c r="A26" s="5" t="inlineStr">
        <is>
          <t>raise_site</t>
        </is>
      </c>
      <c r="B26" t="inlineStr">
        <is>
          <t>Project raise per site</t>
        </is>
      </c>
      <c r="C26" s="8" t="n">
        <v>15000000</v>
      </c>
      <c r="D26" t="inlineStr">
        <is>
          <t>$</t>
        </is>
      </c>
      <c r="E26" s="2" t="inlineStr">
        <is>
          <t>sponsor-directed headline</t>
        </is>
      </c>
    </row>
    <row r="27">
      <c r="A27" s="5" t="inlineStr">
        <is>
          <t>build</t>
        </is>
      </c>
      <c r="B27" t="inlineStr">
        <is>
          <t>Use of funds: build / core plant</t>
        </is>
      </c>
      <c r="C27" s="8" t="n">
        <v>8000000</v>
      </c>
      <c r="D27" t="inlineStr">
        <is>
          <t>$</t>
        </is>
      </c>
      <c r="E27" s="2" t="inlineStr">
        <is>
          <t>rough verbal</t>
        </is>
      </c>
    </row>
    <row r="28">
      <c r="A28" s="5" t="inlineStr">
        <is>
          <t>addl</t>
        </is>
      </c>
      <c r="B28" t="inlineStr">
        <is>
          <t>Use of funds: added construction</t>
        </is>
      </c>
      <c r="C28" s="8" t="n">
        <v>1000000</v>
      </c>
      <c r="D28" t="inlineStr">
        <is>
          <t>$</t>
        </is>
      </c>
      <c r="E28" s="2" t="inlineStr">
        <is>
          <t>rough verbal</t>
        </is>
      </c>
    </row>
    <row r="29">
      <c r="A29" s="5" t="inlineStr">
        <is>
          <t>preproc</t>
        </is>
      </c>
      <c r="B29" t="inlineStr">
        <is>
          <t>Use of funds: pre-processing/pre-treatment equip</t>
        </is>
      </c>
      <c r="C29" s="8" t="n">
        <v>2000000</v>
      </c>
      <c r="D29" t="inlineStr">
        <is>
          <t>$</t>
        </is>
      </c>
      <c r="E29" s="2" t="inlineStr">
        <is>
          <t>rough verbal</t>
        </is>
      </c>
    </row>
    <row r="30">
      <c r="A30" s="5" t="inlineStr">
        <is>
          <t>conting</t>
        </is>
      </c>
      <c r="B30" t="inlineStr">
        <is>
          <t>Use of funds: contingency/fees/payroll/training</t>
        </is>
      </c>
      <c r="C30" s="8" t="n">
        <v>5000000</v>
      </c>
      <c r="D30" t="inlineStr">
        <is>
          <t>$</t>
        </is>
      </c>
      <c r="E30" s="2" t="inlineStr">
        <is>
          <t>rough verbal</t>
        </is>
      </c>
    </row>
    <row r="31">
      <c r="A31" s="5" t="inlineStr">
        <is>
          <t>ww_license</t>
        </is>
      </c>
      <c r="B31" t="inlineStr">
        <is>
          <t>WasteWerx license fee (Yr1, net of design credit)</t>
        </is>
      </c>
      <c r="C31" s="8" t="n">
        <v>5450000</v>
      </c>
      <c r="D31" t="inlineStr">
        <is>
          <t>$</t>
        </is>
      </c>
      <c r="E31" s="2" t="inlineStr">
        <is>
          <t>signed Model 3</t>
        </is>
      </c>
    </row>
    <row r="32">
      <c r="A32" s="5" t="inlineStr">
        <is>
          <t>ww_design</t>
        </is>
      </c>
      <c r="B32" t="inlineStr">
        <is>
          <t>WasteWerx design fee (credited)</t>
        </is>
      </c>
      <c r="C32" s="8" t="n">
        <v>50000</v>
      </c>
      <c r="D32" t="inlineStr">
        <is>
          <t>$</t>
        </is>
      </c>
      <c r="E32" s="2" t="inlineStr">
        <is>
          <t>signed Model 3</t>
        </is>
      </c>
    </row>
    <row r="33">
      <c r="A33" s="5" t="inlineStr">
        <is>
          <t>ww_monitor</t>
        </is>
      </c>
      <c r="B33" t="inlineStr">
        <is>
          <t>WasteWerx Yr1 monitoring fees</t>
        </is>
      </c>
      <c r="C33" s="8" t="n">
        <v>175000</v>
      </c>
      <c r="D33" t="inlineStr">
        <is>
          <t>$</t>
        </is>
      </c>
      <c r="E33" s="2" t="inlineStr">
        <is>
          <t>signed Model 3</t>
        </is>
      </c>
    </row>
    <row r="34">
      <c r="A34" s="5" t="inlineStr">
        <is>
          <t>ww_royalty</t>
        </is>
      </c>
      <c r="B34" t="inlineStr">
        <is>
          <t>WasteWerx Yr1 production royalty</t>
        </is>
      </c>
      <c r="C34" s="8" t="n">
        <v>995328</v>
      </c>
      <c r="D34" t="inlineStr">
        <is>
          <t>$</t>
        </is>
      </c>
      <c r="E34" s="2" t="inlineStr">
        <is>
          <t>signed Model 3</t>
        </is>
      </c>
    </row>
    <row r="35">
      <c r="A35" s="5" t="inlineStr">
        <is>
          <t>cust_capex</t>
        </is>
      </c>
      <c r="B35" t="inlineStr">
        <is>
          <t>Customer-side capex (site/utilities/permits/WC)</t>
        </is>
      </c>
      <c r="C35" s="8" t="n">
        <v>952500</v>
      </c>
      <c r="D35" t="inlineStr">
        <is>
          <t>$</t>
        </is>
      </c>
      <c r="E35" s="2" t="inlineStr">
        <is>
          <t>signed Model 3</t>
        </is>
      </c>
    </row>
    <row r="36">
      <c r="A36" s="5" t="inlineStr">
        <is>
          <t>company_raise</t>
        </is>
      </c>
      <c r="B36" t="inlineStr">
        <is>
          <t>Company-level raise (separate)</t>
        </is>
      </c>
      <c r="C36" s="8" t="n">
        <v>2500000</v>
      </c>
      <c r="D36" t="inlineStr">
        <is>
          <t>$</t>
        </is>
      </c>
      <c r="E36" s="2" t="inlineStr">
        <is>
          <t>sponsor-directed</t>
        </is>
      </c>
    </row>
    <row r="37">
      <c r="A37" s="5" t="inlineStr">
        <is>
          <t>sites</t>
        </is>
      </c>
      <c r="B37" t="inlineStr">
        <is>
          <t>Number of sites in network</t>
        </is>
      </c>
      <c r="C37" s="6" t="n">
        <v>3</v>
      </c>
      <c r="D37" t="inlineStr">
        <is>
          <t>#</t>
        </is>
      </c>
      <c r="E37" s="2" t="inlineStr">
        <is>
          <t>Michigan corridor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46" customWidth="1" min="3" max="3"/>
  </cols>
  <sheetData>
    <row r="1">
      <c r="A1" s="1" t="inlineStr">
        <is>
          <t>Annual operating cost — bottom-up (per site, steady state)</t>
        </is>
      </c>
    </row>
    <row r="2">
      <c r="A2" s="2" t="inlineStr">
        <is>
          <t>KEY FINDING: site labor ALONE exceeds the signed model's entire implied opex. Green = known, orange = estimate to confirm.</t>
        </is>
      </c>
    </row>
    <row r="4">
      <c r="A4" s="4" t="inlineStr">
        <is>
          <t>Cost line</t>
        </is>
      </c>
      <c r="B4" s="4" t="inlineStr">
        <is>
          <t>Amount $/yr</t>
        </is>
      </c>
      <c r="C4" s="4" t="inlineStr">
        <is>
          <t>Status</t>
        </is>
      </c>
    </row>
    <row r="5">
      <c r="A5" s="9" t="inlineStr">
        <is>
          <t>Site labor — loaded (62 FTE worst-case x MI-adj x cross-training)</t>
        </is>
      </c>
      <c r="B5" s="10">
        <f>Inputs!$C$17*Inputs!$C$18*Inputs!$C$19</f>
        <v/>
      </c>
      <c r="C5" s="9" t="inlineStr">
        <is>
          <t>WORST-CASE per WasteWerx (V.Tizio); benefits/MI rates need actuals [Robert]</t>
        </is>
      </c>
    </row>
    <row r="6">
      <c r="A6" s="9" t="inlineStr">
        <is>
          <t>WasteWerx production royalty (recurring)</t>
        </is>
      </c>
      <c r="B6" s="11">
        <f>Inputs!$C$34</f>
        <v/>
      </c>
      <c r="C6" s="9" t="inlineStr">
        <is>
          <t>KNOWN — signed model</t>
        </is>
      </c>
    </row>
    <row r="7">
      <c r="A7" s="9" t="inlineStr">
        <is>
          <t>WasteWerx monitoring fees (recurring)</t>
        </is>
      </c>
      <c r="B7" s="11">
        <f>Inputs!$C$33</f>
        <v/>
      </c>
      <c r="C7" s="9" t="inlineStr">
        <is>
          <t>KNOWN — signed model</t>
        </is>
      </c>
    </row>
    <row r="8">
      <c r="A8" s="9" t="inlineStr">
        <is>
          <t>Net feedstock cost</t>
        </is>
      </c>
      <c r="B8" s="10">
        <f>Inputs!$C$20</f>
        <v/>
      </c>
      <c r="C8" s="9" t="inlineStr">
        <is>
          <t>[CONFIRM — may be tipping-fee positive]</t>
        </is>
      </c>
    </row>
    <row r="9">
      <c r="A9" s="9" t="inlineStr">
        <is>
          <t>Utilities / energy (net of syngas self-supply)</t>
        </is>
      </c>
      <c r="B9" s="10">
        <f>Inputs!$C$21</f>
        <v/>
      </c>
      <c r="C9" s="9" t="inlineStr">
        <is>
          <t>ESTIMATE [CONFIRM]</t>
        </is>
      </c>
    </row>
    <row r="10">
      <c r="A10" s="9" t="inlineStr">
        <is>
          <t>Maintenance materials + contract maintenance</t>
        </is>
      </c>
      <c r="B10" s="10">
        <f>Inputs!$C$22</f>
        <v/>
      </c>
      <c r="C10" s="9" t="inlineStr">
        <is>
          <t>ESTIMATE [CONFIRM]</t>
        </is>
      </c>
    </row>
    <row r="11">
      <c r="A11" s="9" t="inlineStr">
        <is>
          <t>Insurance (industrial)</t>
        </is>
      </c>
      <c r="B11" s="10">
        <f>Inputs!$C$23</f>
        <v/>
      </c>
      <c r="C11" s="9" t="inlineStr">
        <is>
          <t>ESTIMATE [CONFIRM]</t>
        </is>
      </c>
    </row>
    <row r="12">
      <c r="A12" s="9" t="inlineStr">
        <is>
          <t>Contracted services (security/janitorial/IT/3rd-party MRV)</t>
        </is>
      </c>
      <c r="B12" s="10">
        <f>Inputs!$C$24</f>
        <v/>
      </c>
      <c r="C12" s="9" t="inlineStr">
        <is>
          <t>NOT in staffing pro forma [CONFIRM]</t>
        </is>
      </c>
    </row>
    <row r="13">
      <c r="A13" s="9" t="inlineStr">
        <is>
          <t>G&amp;A / SG&amp;A</t>
        </is>
      </c>
      <c r="B13" s="10">
        <f>Inputs!$C$25</f>
        <v/>
      </c>
      <c r="C13" s="9" t="inlineStr">
        <is>
          <t>ESTIMATE [CONFIRM]</t>
        </is>
      </c>
    </row>
    <row r="14">
      <c r="A14" s="12" t="inlineStr">
        <is>
          <t>TOTAL ANNUAL OPEX (bottom-up)</t>
        </is>
      </c>
      <c r="B14" s="13">
        <f>SUM(B5:B13)</f>
        <v/>
      </c>
    </row>
    <row r="16">
      <c r="A16" s="14" t="inlineStr">
        <is>
          <t>Signed model's IMPLIED opex (rev - EBITDA)</t>
        </is>
      </c>
      <c r="B16" s="15" t="n">
        <v>5381149</v>
      </c>
    </row>
    <row r="17">
      <c r="A17" s="12" t="inlineStr">
        <is>
          <t>Understatement baked into signed EBITDA (bottom-up - implied)</t>
        </is>
      </c>
      <c r="B17" s="16">
        <f>B14-B16</f>
        <v/>
      </c>
    </row>
    <row r="19">
      <c r="A19" s="12" t="inlineStr">
        <is>
          <t>Labor ALONE (MI-adj x cross-training)</t>
        </is>
      </c>
      <c r="B19" s="17">
        <f>Inputs!$C$17*Inputs!$C$18*Inputs!$C$19</f>
        <v/>
      </c>
    </row>
    <row r="20">
      <c r="A20" s="18" t="inlineStr">
        <is>
          <t>-&gt; at worst-case staffing, labor alone exceeds the signed model's entire implied opex. Signed EBITDA overstates margin.</t>
        </is>
      </c>
    </row>
    <row r="22">
      <c r="A22" s="2" t="inlineStr">
        <is>
          <t>WasteWerx (V. Tizio, 5/27/26): staffing is intentional worst-case 'overkill'; cross-trained roles will reduce headcount;</t>
        </is>
      </c>
    </row>
    <row r="23">
      <c r="A23" s="2" t="inlineStr">
        <is>
          <t>health insurance &amp; benefits need actuals; salaries are FL market — Robert to adjust to Michigan pay rates. Flex via xtrain + mi_adj inputs.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Per-site revenue build-up, scenarios &amp; capital bridge</t>
        </is>
      </c>
    </row>
    <row r="2">
      <c r="A2" s="2" t="inlineStr">
        <is>
          <t>Line-by-line build-up (the answer to 'show me $6.75M fuel -&gt; $35.58M, line by line'). Base = green, contingent = orange.</t>
        </is>
      </c>
    </row>
    <row r="4">
      <c r="A4" s="4" t="inlineStr">
        <is>
          <t>Revenue line</t>
        </is>
      </c>
      <c r="B4" s="4" t="inlineStr">
        <is>
          <t>Amount $/yr</t>
        </is>
      </c>
      <c r="C4" s="4" t="inlineStr">
        <is>
          <t>Category</t>
        </is>
      </c>
      <c r="D4" s="4" t="inlineStr">
        <is>
          <t>Status / caveat</t>
        </is>
      </c>
    </row>
    <row r="5">
      <c r="A5" s="9" t="inlineStr">
        <is>
          <t>Pyrolysis oil — raw, market price</t>
        </is>
      </c>
      <c r="B5" s="11">
        <f>(Inputs!$C$5*Inputs!$C$6*Inputs!$C$7)*Inputs!$C$9</f>
        <v/>
      </c>
      <c r="C5" s="19" t="inlineStr">
        <is>
          <t>BASE (conservative)</t>
        </is>
      </c>
      <c r="D5" s="9" t="inlineStr">
        <is>
          <t>Market-grounded; most defensible</t>
        </is>
      </c>
    </row>
    <row r="6">
      <c r="A6" s="9" t="inlineStr">
        <is>
          <t>Carbon black</t>
        </is>
      </c>
      <c r="B6" s="11">
        <f>(Inputs!$C$5*Inputs!$C$6*Inputs!$C$8)*Inputs!$C$10</f>
        <v/>
      </c>
      <c r="C6" s="19" t="inlineStr">
        <is>
          <t>BASE</t>
        </is>
      </c>
      <c r="D6" s="9" t="inlineStr">
        <is>
          <t>Real saleable product; excluded from signed model [CONFIRM price/offtake]</t>
        </is>
      </c>
    </row>
    <row r="7">
      <c r="A7" s="9" t="inlineStr">
        <is>
          <t>Renewable diesel (upgraded fuel)</t>
        </is>
      </c>
      <c r="B7" s="11">
        <f>Inputs!$C$11</f>
        <v/>
      </c>
      <c r="C7" s="19" t="inlineStr">
        <is>
          <t>BASE (upgraded)</t>
        </is>
      </c>
      <c r="D7" s="9" t="inlineStr">
        <is>
          <t>Requires distillation refinery + offtake MOU</t>
        </is>
      </c>
    </row>
    <row r="8">
      <c r="A8" s="9" t="inlineStr">
        <is>
          <t>SAF / kerosene (upgraded fuel)</t>
        </is>
      </c>
      <c r="B8" s="11">
        <f>Inputs!$C$12</f>
        <v/>
      </c>
      <c r="C8" s="19" t="inlineStr">
        <is>
          <t>BASE (upgraded)</t>
        </is>
      </c>
      <c r="D8" s="9" t="inlineStr">
        <is>
          <t>Requires distillation + offtake; [CONFIRM classification]</t>
        </is>
      </c>
    </row>
    <row r="9">
      <c r="A9" s="9" t="inlineStr">
        <is>
          <t>D4 RIN</t>
        </is>
      </c>
      <c r="B9" s="10">
        <f>Inputs!$C$13</f>
        <v/>
      </c>
      <c r="C9" s="19" t="inlineStr">
        <is>
          <t>CONTINGENT UPSIDE</t>
        </is>
      </c>
      <c r="D9" s="9" t="inlineStr">
        <is>
          <t>RFS pathway registration required — NOT secured</t>
        </is>
      </c>
    </row>
    <row r="10">
      <c r="A10" s="9" t="inlineStr">
        <is>
          <t>D7 RIN</t>
        </is>
      </c>
      <c r="B10" s="10">
        <f>Inputs!$C$14</f>
        <v/>
      </c>
      <c r="C10" s="19" t="inlineStr">
        <is>
          <t>CONTINGENT UPSIDE</t>
        </is>
      </c>
      <c r="D10" s="9" t="inlineStr">
        <is>
          <t>RFS pathway registration required — NOT secured</t>
        </is>
      </c>
    </row>
    <row r="11">
      <c r="A11" s="9" t="inlineStr">
        <is>
          <t>Section 45Z — RD</t>
        </is>
      </c>
      <c r="B11" s="10">
        <f>Inputs!$C$15</f>
        <v/>
      </c>
      <c r="C11" s="19" t="inlineStr">
        <is>
          <t>CONTINGENT UPSIDE</t>
        </is>
      </c>
      <c r="D11" s="9" t="inlineStr">
        <is>
          <t>Eligibility + tax counsel required — NOT secured</t>
        </is>
      </c>
    </row>
    <row r="12">
      <c r="A12" s="9" t="inlineStr">
        <is>
          <t>Section 45Z — SAF</t>
        </is>
      </c>
      <c r="B12" s="10">
        <f>Inputs!$C$16</f>
        <v/>
      </c>
      <c r="C12" s="19" t="inlineStr">
        <is>
          <t>CONTINGENT UPSIDE</t>
        </is>
      </c>
      <c r="D12" s="9" t="inlineStr">
        <is>
          <t>Eligibility + tax counsel required — NOT secured</t>
        </is>
      </c>
    </row>
    <row r="14">
      <c r="A14" s="3" t="inlineStr">
        <is>
          <t>SCENARIO SUMMARY (per site)</t>
        </is>
      </c>
    </row>
    <row r="15">
      <c r="A15" s="4" t="inlineStr">
        <is>
          <t>Scenario</t>
        </is>
      </c>
      <c r="B15" s="4" t="inlineStr">
        <is>
          <t>Revenue $/yr</t>
        </is>
      </c>
      <c r="C15" s="4" t="inlineStr">
        <is>
          <t>Opex $/yr</t>
        </is>
      </c>
      <c r="D15" s="4" t="inlineStr">
        <is>
          <t>EBITDA $/yr</t>
        </is>
      </c>
      <c r="E15" s="4" t="inlineStr">
        <is>
          <t>Credits in headline?</t>
        </is>
      </c>
    </row>
    <row r="16">
      <c r="A16" s="9" t="inlineStr">
        <is>
          <t>Base — Conservative (raw oil + carbon black)</t>
        </is>
      </c>
      <c r="B16" s="20">
        <f>B5+B6</f>
        <v/>
      </c>
      <c r="C16" s="20">
        <f>Opex_BuildUp!$B$14</f>
        <v/>
      </c>
      <c r="D16" s="21">
        <f>B16-C16</f>
        <v/>
      </c>
      <c r="E16" s="19" t="inlineStr">
        <is>
          <t>No</t>
        </is>
      </c>
    </row>
    <row r="17">
      <c r="A17" s="9" t="inlineStr">
        <is>
          <t>Base — Upgraded (RD + SAF + carbon black)</t>
        </is>
      </c>
      <c r="B17" s="20">
        <f>B7+B8+B6</f>
        <v/>
      </c>
      <c r="C17" s="20">
        <f>Opex_BuildUp!$B$14</f>
        <v/>
      </c>
      <c r="D17" s="21">
        <f>B17-C17</f>
        <v/>
      </c>
      <c r="E17" s="19" t="inlineStr">
        <is>
          <t>No</t>
        </is>
      </c>
    </row>
    <row r="18">
      <c r="A18" s="9" t="inlineStr">
        <is>
          <t>Signed headline (RD + SAF + credits, no carbon black)</t>
        </is>
      </c>
      <c r="B18" s="20">
        <f>B7+B8+B9+B10+B11+B12</f>
        <v/>
      </c>
      <c r="C18" s="20">
        <f>Opex_BuildUp!$B$14</f>
        <v/>
      </c>
      <c r="D18" s="22">
        <f>B18-C18</f>
        <v/>
      </c>
      <c r="E18" s="19" t="inlineStr">
        <is>
          <t>YES — ~$20.4M credit-dependent</t>
        </is>
      </c>
    </row>
    <row r="19">
      <c r="A19" s="9" t="inlineStr">
        <is>
          <t>Full stack (upgraded fuel + carbon black + credits)</t>
        </is>
      </c>
      <c r="B19" s="20">
        <f>B6+B7+B8+B9+B10+B11+B12</f>
        <v/>
      </c>
      <c r="C19" s="20">
        <f>Opex_BuildUp!$B$14</f>
        <v/>
      </c>
      <c r="D19" s="22">
        <f>B19-C19</f>
        <v/>
      </c>
      <c r="E19" s="19" t="inlineStr">
        <is>
          <t>YES</t>
        </is>
      </c>
    </row>
    <row r="21">
      <c r="A21" s="12" t="inlineStr">
        <is>
          <t>Contingent credit value at risk in headline (RIN + 45Z)</t>
        </is>
      </c>
      <c r="B21" s="16">
        <f>B9+B10+B11+B12</f>
        <v/>
      </c>
      <c r="C21" s="2" t="inlineStr">
        <is>
          <t>&lt;- this much of the signed headline is NOT secured</t>
        </is>
      </c>
    </row>
    <row r="23">
      <c r="A23" s="3" t="inlineStr">
        <is>
          <t>PER-SITE CAPITAL BRIDGE</t>
        </is>
      </c>
    </row>
    <row r="24">
      <c r="A24" t="inlineStr">
        <is>
          <t>Project raise per site</t>
        </is>
      </c>
      <c r="B24" s="15">
        <f>Inputs!$C$26</f>
        <v/>
      </c>
    </row>
    <row r="25">
      <c r="A25" t="inlineStr">
        <is>
          <t>WasteWerx Year 1 (license+design+monitoring+royalty)</t>
        </is>
      </c>
      <c r="B25" s="15">
        <f>Inputs!$C$31+Inputs!$C$32+Inputs!$C$33+Inputs!$C$34</f>
        <v/>
      </c>
    </row>
    <row r="26">
      <c r="A26" t="inlineStr">
        <is>
          <t>Customer-side capex</t>
        </is>
      </c>
      <c r="B26" s="15">
        <f>Inputs!$C$35</f>
        <v/>
      </c>
    </row>
    <row r="27">
      <c r="A27" s="12" t="inlineStr">
        <is>
          <t>Total Year 1 cash out</t>
        </is>
      </c>
      <c r="B27" s="17">
        <f>B25+B26</f>
        <v/>
      </c>
    </row>
    <row r="28">
      <c r="A28" s="14" t="inlineStr">
        <is>
          <t>Residual project envelope (land, civil, integration, contingency, payroll, reserves)</t>
        </is>
      </c>
      <c r="B28" s="13">
        <f>B24-B27</f>
        <v/>
      </c>
    </row>
    <row r="30">
      <c r="A30" s="12" t="inlineStr">
        <is>
          <t>Use-of-funds (sponsor rough) vs raise — RECONCILE</t>
        </is>
      </c>
    </row>
    <row r="31">
      <c r="A31" t="inlineStr">
        <is>
          <t>Build + added construction + pre-processing + contingency</t>
        </is>
      </c>
      <c r="B31" s="15">
        <f>Inputs!$C$27+Inputs!$C$28+Inputs!$C$29+Inputs!$C$30</f>
        <v/>
      </c>
    </row>
    <row r="32">
      <c r="A32" t="inlineStr">
        <is>
          <t>Reconciliation gap vs $15M raise (negative = over)</t>
        </is>
      </c>
      <c r="B32" s="23">
        <f>Inputs!$C$26-B31</f>
        <v/>
      </c>
      <c r="C32" s="2" t="inlineStr">
        <is>
          <t>[CONFIRM which line absorbs the ~$1M]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9" customWidth="1" min="3" max="3"/>
    <col width="16" customWidth="1" min="4" max="4"/>
    <col width="34" customWidth="1" min="5" max="5"/>
  </cols>
  <sheetData>
    <row r="1">
      <c r="A1" s="1" t="inlineStr">
        <is>
          <t>Three-site network rollup (live x number of sites)</t>
        </is>
      </c>
    </row>
    <row r="2">
      <c r="A2" s="2" t="inlineStr">
        <is>
          <t>Base anchors; credits flagged. Company raise kept separate.</t>
        </is>
      </c>
    </row>
    <row r="4">
      <c r="A4" s="4" t="inlineStr">
        <is>
          <t>Metric</t>
        </is>
      </c>
      <c r="B4" s="4" t="inlineStr">
        <is>
          <t>Per site</t>
        </is>
      </c>
      <c r="C4" s="4" t="inlineStr">
        <is>
          <t>x Sites</t>
        </is>
      </c>
      <c r="D4" s="4" t="inlineStr">
        <is>
          <t>Network total</t>
        </is>
      </c>
      <c r="E4" s="4" t="inlineStr">
        <is>
          <t>Note</t>
        </is>
      </c>
    </row>
    <row r="5">
      <c r="A5" s="9" t="inlineStr">
        <is>
          <t>Base EBITDA — Conservative</t>
        </is>
      </c>
      <c r="B5" s="20">
        <f>'Per_Site'!D16</f>
        <v/>
      </c>
      <c r="C5" s="19">
        <f>Inputs!$C$37</f>
        <v/>
      </c>
      <c r="D5" s="21">
        <f>B5*C5</f>
        <v/>
      </c>
      <c r="E5" s="9" t="inlineStr">
        <is>
          <t>BASE — defensible</t>
        </is>
      </c>
    </row>
    <row r="6">
      <c r="A6" s="9" t="inlineStr">
        <is>
          <t>Base EBITDA — Upgraded</t>
        </is>
      </c>
      <c r="B6" s="20">
        <f>'Per_Site'!D17</f>
        <v/>
      </c>
      <c r="C6" s="19">
        <f>Inputs!$C$37</f>
        <v/>
      </c>
      <c r="D6" s="21">
        <f>B6*C6</f>
        <v/>
      </c>
      <c r="E6" s="9" t="inlineStr">
        <is>
          <t>BASE — needs distillation+offtake</t>
        </is>
      </c>
    </row>
    <row r="7">
      <c r="A7" s="9" t="inlineStr">
        <is>
          <t>Signed-headline EBITDA (credit-dependent)</t>
        </is>
      </c>
      <c r="B7" s="20">
        <f>'Per_Site'!D18</f>
        <v/>
      </c>
      <c r="C7" s="19">
        <f>Inputs!$C$37</f>
        <v/>
      </c>
      <c r="D7" s="22">
        <f>B7*C7</f>
        <v/>
      </c>
      <c r="E7" s="9" t="inlineStr">
        <is>
          <t>CONTINGENT — ~$20.4M/site credits</t>
        </is>
      </c>
    </row>
    <row r="8">
      <c r="A8" s="9" t="inlineStr">
        <is>
          <t>Signed-headline revenue</t>
        </is>
      </c>
      <c r="B8" s="20">
        <f>'Per_Site'!B18</f>
        <v/>
      </c>
      <c r="C8" s="19">
        <f>Inputs!$C$37</f>
        <v/>
      </c>
      <c r="D8" s="22">
        <f>B8*C8</f>
        <v/>
      </c>
      <c r="E8" s="9" t="inlineStr">
        <is>
          <t>CONTINGENT</t>
        </is>
      </c>
    </row>
    <row r="9">
      <c r="A9" s="9" t="inlineStr">
        <is>
          <t>Contingent credit value at risk</t>
        </is>
      </c>
      <c r="B9" s="20">
        <f>'Per_Site'!B21</f>
        <v/>
      </c>
      <c r="C9" s="19">
        <f>Inputs!$C$37</f>
        <v/>
      </c>
      <c r="D9" s="22">
        <f>B9*C9</f>
        <v/>
      </c>
      <c r="E9" s="9" t="inlineStr">
        <is>
          <t>NOT secured</t>
        </is>
      </c>
    </row>
    <row r="10">
      <c r="A10" s="9" t="inlineStr">
        <is>
          <t>Year 1 cash out</t>
        </is>
      </c>
      <c r="B10" s="20">
        <f>'Per_Site'!B27</f>
        <v/>
      </c>
      <c r="C10" s="19">
        <f>Inputs!$C$37</f>
        <v/>
      </c>
      <c r="D10" s="21">
        <f>B10*C10</f>
        <v/>
      </c>
      <c r="E10" s="9" t="inlineStr">
        <is>
          <t>capital</t>
        </is>
      </c>
    </row>
    <row r="11">
      <c r="A11" s="9" t="inlineStr">
        <is>
          <t>Project raises (sites x $15M)</t>
        </is>
      </c>
      <c r="B11" s="20">
        <f>'Per_Site'!B24</f>
        <v/>
      </c>
      <c r="C11" s="19">
        <f>Inputs!$C$37</f>
        <v/>
      </c>
      <c r="D11" s="21">
        <f>B11*C11</f>
        <v/>
      </c>
      <c r="E11" s="9" t="inlineStr">
        <is>
          <t>excludes company raise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>
      <c r="A1" s="1" t="inlineStr">
        <is>
          <t>The two raises — kept distinct</t>
        </is>
      </c>
    </row>
    <row r="2">
      <c r="A2" s="2" t="inlineStr">
        <is>
          <t>Site capital != company capital. Never blend.</t>
        </is>
      </c>
    </row>
    <row r="4">
      <c r="A4" s="4" t="inlineStr">
        <is>
          <t>Item</t>
        </is>
      </c>
      <c r="B4" s="4" t="inlineStr">
        <is>
          <t>Amount</t>
        </is>
      </c>
      <c r="C4" s="4" t="inlineStr">
        <is>
          <t>Note</t>
        </is>
      </c>
    </row>
    <row r="5">
      <c r="A5" s="24" t="inlineStr">
        <is>
          <t>Project raise per site</t>
        </is>
      </c>
      <c r="B5" s="25">
        <f>Inputs!$C$26</f>
        <v/>
      </c>
      <c r="C5" s="9" t="inlineStr">
        <is>
          <t>site deployment</t>
        </is>
      </c>
    </row>
    <row r="6">
      <c r="A6" s="24" t="inlineStr">
        <is>
          <t>Project raises — 3 sites</t>
        </is>
      </c>
      <c r="B6" s="25">
        <f>Inputs!$C$26*Inputs!$C$37</f>
        <v/>
      </c>
      <c r="C6" s="9" t="inlineStr">
        <is>
          <t>excludes company raise</t>
        </is>
      </c>
    </row>
    <row r="7">
      <c r="A7" s="24" t="inlineStr">
        <is>
          <t>Company-level raise (separate)</t>
        </is>
      </c>
      <c r="B7" s="25">
        <f>Inputs!$C$36</f>
        <v/>
      </c>
      <c r="C7" s="9" t="inlineStr">
        <is>
          <t>working capital, payroll, PublicLogic gov fees, team buildout [CONFIRM split]</t>
        </is>
      </c>
    </row>
    <row r="8">
      <c r="A8" s="24" t="inlineStr">
        <is>
          <t>Combined discussion envelope</t>
        </is>
      </c>
      <c r="B8" s="25">
        <f>Inputs!$C$26*Inputs!$C$37+Inputs!$C$36</f>
        <v/>
      </c>
      <c r="C8" s="9" t="inlineStr">
        <is>
          <t>present asks separately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Caveats &amp; confirm-before-send</t>
        </is>
      </c>
    </row>
    <row r="2">
      <c r="A2" s="2" t="inlineStr">
        <is>
          <t>Every contingent assumption and open item. Investor headline must lead with the base case.</t>
        </is>
      </c>
    </row>
    <row r="4">
      <c r="A4" s="3" t="inlineStr">
        <is>
          <t>HEADLINE DISCIPLINE</t>
        </is>
      </c>
    </row>
    <row r="5">
      <c r="A5" s="2" t="inlineStr">
        <is>
          <t xml:space="preserve">  * Investor-facing headline = BASE EBITDA (fuel + carbon black). Show RIN + 45Z as separately-labeled contingent upside.</t>
        </is>
      </c>
    </row>
    <row r="6">
      <c r="A6" s="2" t="inlineStr">
        <is>
          <t xml:space="preserve">  * Signed-model EBITDA (~$30.2M/site) is ~$20.4M dependent on RIN + 45Z. Do NOT anchor the deck on it unproven.</t>
        </is>
      </c>
    </row>
    <row r="7">
      <c r="A7" s="2" t="inlineStr"/>
    </row>
    <row r="8">
      <c r="A8" s="3" t="inlineStr">
        <is>
          <t>CONTINGENT / REGULATORY</t>
        </is>
      </c>
    </row>
    <row r="9">
      <c r="A9" s="2" t="inlineStr">
        <is>
          <t xml:space="preserve">  * D4/D7 RIN: requires EPA RFS pathway registration; volumes &amp; prices [CONFIRM].</t>
        </is>
      </c>
    </row>
    <row r="10">
      <c r="A10" s="2" t="inlineStr">
        <is>
          <t xml:space="preserve">  * Section 45Z (RD + SAF): requires eligibility determination + tax counsel; rate assumption [CONFIRM].</t>
        </is>
      </c>
    </row>
    <row r="11">
      <c r="A11" s="2" t="inlineStr">
        <is>
          <t xml:space="preserve">  * SAF/kerosene product classification [CONFIRM] — drives both fuel revenue and 45Z.</t>
        </is>
      </c>
    </row>
    <row r="12">
      <c r="A12" s="2" t="inlineStr">
        <is>
          <t xml:space="preserve">  * Carbon black: included in base as a real product; price + offtake [CONFIRM]. (Signed model excluded it.)</t>
        </is>
      </c>
    </row>
    <row r="13">
      <c r="A13" s="2" t="inlineStr">
        <is>
          <t xml:space="preserve">  * OPEX IS UNDERSTATED IN THE SIGNED MODEL. The uploaded WasteWerx staffing pro forma shows 62 FTE / $5.52M loaded</t>
        </is>
      </c>
    </row>
    <row r="14">
      <c r="A14" s="2" t="inlineStr">
        <is>
          <t xml:space="preserve">    labor alone — more than the signed model's entire implied opex ($5.38M). Bottom-up opex (Opex_BuildUp sheet) is</t>
        </is>
      </c>
    </row>
    <row r="15">
      <c r="A15" s="2" t="inlineStr">
        <is>
          <t xml:space="preserve">    materially higher; utilities/maintenance/insurance/contracted/G&amp;A are estimates [CONFIRM with WasteWerx].</t>
        </is>
      </c>
    </row>
    <row r="16">
      <c r="A16" s="2" t="inlineStr">
        <is>
          <t xml:space="preserve">  * Contracted services (security, janitorial, IT/MSP, certified 3rd-party MRV verification) are explicitly NOT in the</t>
        </is>
      </c>
    </row>
    <row r="17">
      <c r="A17" s="2" t="inlineStr">
        <is>
          <t xml:space="preserve">    staffing pro forma and must be budgeted separately. Labor is intentional WORST-CASE per WasteWerx (V. Tizio,</t>
        </is>
      </c>
    </row>
    <row r="18">
      <c r="A18" s="2" t="inlineStr">
        <is>
          <t xml:space="preserve">    5/27/26): cross-training reduces headcount (set xtrain&lt;1.0), salaries are FL market (set mi_adj for Michigan),</t>
        </is>
      </c>
    </row>
    <row r="19">
      <c r="A19" s="2" t="inlineStr">
        <is>
          <t xml:space="preserve">    and health-insurance/benefits actuals are still pending — net labor could move down (cross-training) or up (MI+benefits).</t>
        </is>
      </c>
    </row>
    <row r="20">
      <c r="A20" s="2" t="inlineStr"/>
    </row>
    <row r="21">
      <c r="A21" s="3" t="inlineStr">
        <is>
          <t>CAPITAL</t>
        </is>
      </c>
    </row>
    <row r="22">
      <c r="A22" s="2" t="inlineStr">
        <is>
          <t xml:space="preserve">  * Sponsor use-of-funds (~$16M) exceeds the $15M/site raise by ~$1M — confirm which line absorbs it.</t>
        </is>
      </c>
    </row>
    <row r="23">
      <c r="A23" s="2" t="inlineStr">
        <is>
          <t xml:space="preserve">  * $2.5M company raise stays separate from site SPV totals.</t>
        </is>
      </c>
    </row>
    <row r="24">
      <c r="A24" s="2" t="inlineStr">
        <is>
          <t xml:space="preserve">  * WasteWerx is a LICENSE, not a sale; title stays with WasteWerx; license fee depreciation differs; transfer/termination terms matter.</t>
        </is>
      </c>
    </row>
    <row r="25">
      <c r="A25" s="2" t="inlineStr"/>
    </row>
    <row r="26">
      <c r="A26" s="3" t="inlineStr">
        <is>
          <t>GOVERNANCE / LEGAL</t>
        </is>
      </c>
    </row>
    <row r="27">
      <c r="A27" s="2" t="inlineStr">
        <is>
          <t xml:space="preserve">  * Securities: not an offer; securities counsel review required before any circulation.</t>
        </is>
      </c>
    </row>
    <row r="28">
      <c r="A28" s="2" t="inlineStr">
        <is>
          <t xml:space="preserve">  * PublicLogic = governance/document partner, NOT placement agent/broker-dealer; fee FIXED &amp; NON-CONTINGENT.</t>
        </is>
      </c>
    </row>
    <row r="29">
      <c r="A29" s="2" t="inlineStr">
        <is>
          <t xml:space="preserve">  * Community-benefit %: source files say 10%; sponsor flags a conflict — do not publish a number until reconciled.</t>
        </is>
      </c>
    </row>
    <row r="30">
      <c r="A30" s="2" t="inlineStr">
        <is>
          <t xml:space="preserve">  * Final site list (Coldwater Phase 2 vs Lincoln) [CONFIRM]; parent-holdco legal name [CONFIRM].</t>
        </is>
      </c>
    </row>
    <row r="31">
      <c r="A31" s="2" t="inlineStr">
        <is>
          <t xml:space="preserve">  * National Salvage: 'largest treated-wood recycler in the U.S.' unless stronger evidence (a verbal 'in the world' is unverified).</t>
        </is>
      </c>
    </row>
    <row r="32">
      <c r="A32" s="2" t="inlineStr"/>
    </row>
    <row r="33">
      <c r="A33" s="2" t="inlineStr">
        <is>
          <t>Not financial, accounting, securities, or tax advice. Figures trace to the canonical workbook / signed pro forma; verify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2026-06-05T02:10:12Z</dcterms:created>
  <dcterms:modified xmlns:dcterms="http://purl.org/dc/terms/" xmlns:xsi="http://www.w3.org/2001/XMLSchema-instance" xsi:type="dcterms:W3CDTF">2026-06-05T02:10:12Z</dcterms:modified>
</cp:coreProperties>
</file>