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Reconciled Model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Discrepancy Log" sheetId="4" state="visible" r:id="rId4"/>
    <sheet xmlns:r="http://schemas.openxmlformats.org/officeDocument/2006/relationships" name="WasteWerx Cost Inpu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CC0000"/>
      <sz val="10"/>
    </font>
    <font>
      <name val="Arial"/>
      <charset val="1"/>
      <family val="0"/>
      <b val="1"/>
      <color rgb="FF1B3A5C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2D3748"/>
      <sz val="10"/>
    </font>
    <font>
      <name val="Arial"/>
      <charset val="1"/>
      <family val="0"/>
      <color rgb="FF2D3748"/>
      <sz val="10"/>
    </font>
    <font>
      <name val="Arial"/>
      <charset val="1"/>
      <family val="0"/>
      <b val="1"/>
      <color rgb="FF0A7029"/>
      <sz val="10"/>
    </font>
    <font>
      <name val="Arial"/>
      <charset val="1"/>
      <family val="0"/>
      <color rgb="FF4A5568"/>
      <sz val="9"/>
    </font>
    <font>
      <name val="Arial"/>
      <charset val="1"/>
      <family val="0"/>
      <b val="1"/>
      <color rgb="FF4A5568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C49A2A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i val="1"/>
      <color rgb="FF0000FF"/>
      <sz val="10"/>
    </font>
    <font>
      <name val="Arial"/>
      <charset val="1"/>
      <family val="0"/>
      <b val="1"/>
      <color rgb="FF0A7029"/>
      <sz val="12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4A5568"/>
      <sz val="10"/>
    </font>
    <font>
      <name val="Arial"/>
      <charset val="1"/>
      <family val="0"/>
      <b val="1"/>
      <color rgb="FF1B3A5C"/>
      <sz val="10"/>
    </font>
    <font>
      <b val="1"/>
      <color rgb="00FFFFFF"/>
      <sz val="13"/>
    </font>
    <font>
      <i val="1"/>
      <color rgb="00666666"/>
      <sz val="9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  <sz val="11"/>
    </font>
    <font>
      <b val="1"/>
      <color rgb="00B71C1C"/>
      <sz val="10"/>
    </font>
    <font>
      <color rgb="00B71C1C"/>
      <sz val="9"/>
    </font>
    <font>
      <color rgb="00000000"/>
      <sz val="9"/>
    </font>
    <font>
      <b val="1"/>
      <color rgb="00E65100"/>
      <sz val="10"/>
    </font>
    <font>
      <color rgb="00E65100"/>
      <sz val="9"/>
    </font>
    <font>
      <b val="1"/>
      <color rgb="001B5E20"/>
      <sz val="10"/>
    </font>
    <font>
      <color rgb="001B5E20"/>
      <sz val="9"/>
    </font>
  </fonts>
  <fills count="17">
    <fill>
      <patternFill/>
    </fill>
    <fill>
      <patternFill patternType="gray125"/>
    </fill>
    <fill>
      <patternFill patternType="solid">
        <fgColor rgb="FF1B3A5C"/>
        <bgColor rgb="FF2D3748"/>
      </patternFill>
    </fill>
    <fill>
      <patternFill patternType="solid">
        <fgColor rgb="FFFFF8E7"/>
        <bgColor rgb="FFFFF3E0"/>
      </patternFill>
    </fill>
    <fill>
      <patternFill patternType="solid">
        <fgColor rgb="FFE8F0FE"/>
        <bgColor rgb="FFE8F5E9"/>
      </patternFill>
    </fill>
    <fill>
      <patternFill patternType="solid">
        <fgColor rgb="FFF7FAFC"/>
        <bgColor rgb="FFFFFFFF"/>
      </patternFill>
    </fill>
    <fill>
      <patternFill patternType="solid">
        <fgColor rgb="FFFFF3E0"/>
        <bgColor rgb="FFFFF8E7"/>
      </patternFill>
    </fill>
    <fill>
      <patternFill patternType="solid">
        <fgColor rgb="FFFFEAEA"/>
        <bgColor rgb="FFFFF3E0"/>
      </patternFill>
    </fill>
    <fill>
      <patternFill patternType="solid">
        <fgColor rgb="FFE8F5E9"/>
        <bgColor rgb="FFE8F0FE"/>
      </patternFill>
    </fill>
    <fill>
      <patternFill patternType="solid">
        <fgColor rgb="0000453E"/>
      </patternFill>
    </fill>
    <fill>
      <patternFill patternType="solid">
        <fgColor rgb="00E7F1EE"/>
      </patternFill>
    </fill>
    <fill>
      <patternFill patternType="solid">
        <fgColor rgb="00004D40"/>
      </patternFill>
    </fill>
    <fill>
      <patternFill patternType="solid">
        <fgColor rgb="00B71C1C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/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/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bottom"/>
    </xf>
    <xf numFmtId="0" fontId="7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9" fillId="0" borderId="2" applyAlignment="1" pivotButton="0" quotePrefix="0" xfId="0">
      <alignment horizontal="general" vertical="top" wrapText="1"/>
    </xf>
    <xf numFmtId="0" fontId="10" fillId="5" borderId="2" applyAlignment="1" pivotButton="0" quotePrefix="0" xfId="0">
      <alignment horizontal="general" vertical="top" wrapText="1"/>
    </xf>
    <xf numFmtId="0" fontId="11" fillId="0" borderId="2" applyAlignment="1" pivotButton="0" quotePrefix="0" xfId="0">
      <alignment horizontal="general" vertical="top" wrapText="1"/>
    </xf>
    <xf numFmtId="0" fontId="12" fillId="0" borderId="2" applyAlignment="1" pivotButton="0" quotePrefix="0" xfId="0">
      <alignment horizontal="general" vertical="top" wrapText="1"/>
    </xf>
    <xf numFmtId="164" fontId="13" fillId="4" borderId="2" applyAlignment="1" pivotButton="0" quotePrefix="0" xfId="0">
      <alignment horizontal="general" vertical="top" wrapText="1"/>
    </xf>
    <xf numFmtId="0" fontId="14" fillId="6" borderId="2" applyAlignment="1" pivotButton="0" quotePrefix="0" xfId="0">
      <alignment horizontal="general" vertical="top" wrapText="1"/>
    </xf>
    <xf numFmtId="0" fontId="15" fillId="7" borderId="2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9" fontId="13" fillId="4" borderId="2" applyAlignment="1" pivotButton="0" quotePrefix="0" xfId="0">
      <alignment horizontal="general" vertical="top" wrapText="1"/>
    </xf>
    <xf numFmtId="0" fontId="13" fillId="4" borderId="2" applyAlignment="1" pivotButton="0" quotePrefix="0" xfId="0">
      <alignment horizontal="general" vertical="top" wrapText="1"/>
    </xf>
    <xf numFmtId="164" fontId="9" fillId="0" borderId="2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164" fontId="6" fillId="3" borderId="2" applyAlignment="1" pivotButton="0" quotePrefix="0" xfId="0">
      <alignment horizontal="general" vertical="top" wrapText="1"/>
    </xf>
    <xf numFmtId="0" fontId="9" fillId="3" borderId="2" applyAlignment="1" pivotButton="0" quotePrefix="0" xfId="0">
      <alignment horizontal="general" vertical="top" wrapText="1"/>
    </xf>
    <xf numFmtId="164" fontId="9" fillId="7" borderId="2" applyAlignment="1" pivotButton="0" quotePrefix="0" xfId="0">
      <alignment horizontal="general" vertical="top" wrapText="1"/>
    </xf>
    <xf numFmtId="0" fontId="15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164" fontId="17" fillId="8" borderId="2" applyAlignment="1" pivotButton="0" quotePrefix="0" xfId="0">
      <alignment horizontal="general" vertical="top" wrapText="1"/>
    </xf>
    <xf numFmtId="0" fontId="18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general" vertical="top" wrapText="1"/>
    </xf>
    <xf numFmtId="164" fontId="10" fillId="8" borderId="2" applyAlignment="1" pivotButton="0" quotePrefix="0" xfId="0">
      <alignment horizontal="general" vertical="top" wrapText="1"/>
    </xf>
    <xf numFmtId="0" fontId="9" fillId="6" borderId="2" applyAlignment="1" pivotButton="0" quotePrefix="0" xfId="0">
      <alignment horizontal="general" vertical="top" wrapText="1"/>
    </xf>
    <xf numFmtId="164" fontId="13" fillId="6" borderId="2" applyAlignment="1" pivotButton="0" quotePrefix="0" xfId="0">
      <alignment horizontal="general" vertical="top" wrapText="1"/>
    </xf>
    <xf numFmtId="164" fontId="9" fillId="6" borderId="2" applyAlignment="1" pivotButton="0" quotePrefix="0" xfId="0">
      <alignment horizontal="general" vertical="top" wrapText="1"/>
    </xf>
    <xf numFmtId="164" fontId="10" fillId="6" borderId="2" applyAlignment="1" pivotButton="0" quotePrefix="0" xfId="0">
      <alignment horizontal="general" vertical="top" wrapText="1"/>
    </xf>
    <xf numFmtId="0" fontId="10" fillId="6" borderId="2" applyAlignment="1" pivotButton="0" quotePrefix="0" xfId="0">
      <alignment horizontal="general" vertical="top" wrapText="1"/>
    </xf>
    <xf numFmtId="0" fontId="20" fillId="0" borderId="2" applyAlignment="1" pivotButton="0" quotePrefix="0" xfId="0">
      <alignment horizontal="general" vertical="top" wrapText="1"/>
    </xf>
    <xf numFmtId="0" fontId="8" fillId="7" borderId="2" applyAlignment="1" pivotButton="0" quotePrefix="0" xfId="0">
      <alignment horizontal="general" vertical="top" wrapText="1"/>
    </xf>
    <xf numFmtId="0" fontId="9" fillId="7" borderId="2" applyAlignment="1" pivotButton="0" quotePrefix="0" xfId="0">
      <alignment horizontal="general" vertical="top" wrapText="1"/>
    </xf>
    <xf numFmtId="0" fontId="11" fillId="7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11" fillId="6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0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bottom"/>
    </xf>
    <xf numFmtId="0" fontId="0" fillId="0" borderId="6" pivotButton="0" quotePrefix="0" xfId="0"/>
    <xf numFmtId="0" fontId="7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9" fillId="0" borderId="2" applyAlignment="1" pivotButton="0" quotePrefix="0" xfId="0">
      <alignment horizontal="general" vertical="top" wrapText="1"/>
    </xf>
    <xf numFmtId="0" fontId="10" fillId="5" borderId="2" applyAlignment="1" pivotButton="0" quotePrefix="0" xfId="0">
      <alignment horizontal="general" vertical="top" wrapText="1"/>
    </xf>
    <xf numFmtId="0" fontId="11" fillId="0" borderId="2" applyAlignment="1" pivotButton="0" quotePrefix="0" xfId="0">
      <alignment horizontal="general" vertical="top" wrapText="1"/>
    </xf>
    <xf numFmtId="0" fontId="12" fillId="0" borderId="2" applyAlignment="1" pivotButton="0" quotePrefix="0" xfId="0">
      <alignment horizontal="general" vertical="top" wrapText="1"/>
    </xf>
    <xf numFmtId="164" fontId="13" fillId="4" borderId="2" applyAlignment="1" pivotButton="0" quotePrefix="0" xfId="0">
      <alignment horizontal="general" vertical="top" wrapText="1"/>
    </xf>
    <xf numFmtId="0" fontId="14" fillId="6" borderId="2" applyAlignment="1" pivotButton="0" quotePrefix="0" xfId="0">
      <alignment horizontal="general" vertical="top" wrapText="1"/>
    </xf>
    <xf numFmtId="0" fontId="15" fillId="7" borderId="2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9" fontId="13" fillId="4" borderId="2" applyAlignment="1" pivotButton="0" quotePrefix="0" xfId="0">
      <alignment horizontal="general" vertical="top" wrapText="1"/>
    </xf>
    <xf numFmtId="0" fontId="13" fillId="4" borderId="2" applyAlignment="1" pivotButton="0" quotePrefix="0" xfId="0">
      <alignment horizontal="general" vertical="top" wrapText="1"/>
    </xf>
    <xf numFmtId="164" fontId="9" fillId="0" borderId="2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164" fontId="6" fillId="3" borderId="2" applyAlignment="1" pivotButton="0" quotePrefix="0" xfId="0">
      <alignment horizontal="general" vertical="top" wrapText="1"/>
    </xf>
    <xf numFmtId="0" fontId="9" fillId="3" borderId="2" applyAlignment="1" pivotButton="0" quotePrefix="0" xfId="0">
      <alignment horizontal="general" vertical="top" wrapText="1"/>
    </xf>
    <xf numFmtId="164" fontId="9" fillId="7" borderId="2" applyAlignment="1" pivotButton="0" quotePrefix="0" xfId="0">
      <alignment horizontal="general" vertical="top" wrapText="1"/>
    </xf>
    <xf numFmtId="0" fontId="15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164" fontId="17" fillId="8" borderId="2" applyAlignment="1" pivotButton="0" quotePrefix="0" xfId="0">
      <alignment horizontal="general" vertical="top" wrapText="1"/>
    </xf>
    <xf numFmtId="0" fontId="18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general" vertical="top" wrapText="1"/>
    </xf>
    <xf numFmtId="164" fontId="10" fillId="8" borderId="2" applyAlignment="1" pivotButton="0" quotePrefix="0" xfId="0">
      <alignment horizontal="general" vertical="top" wrapText="1"/>
    </xf>
    <xf numFmtId="0" fontId="9" fillId="6" borderId="2" applyAlignment="1" pivotButton="0" quotePrefix="0" xfId="0">
      <alignment horizontal="general" vertical="top" wrapText="1"/>
    </xf>
    <xf numFmtId="164" fontId="13" fillId="6" borderId="2" applyAlignment="1" pivotButton="0" quotePrefix="0" xfId="0">
      <alignment horizontal="general" vertical="top" wrapText="1"/>
    </xf>
    <xf numFmtId="164" fontId="9" fillId="6" borderId="2" applyAlignment="1" pivotButton="0" quotePrefix="0" xfId="0">
      <alignment horizontal="general" vertical="top" wrapText="1"/>
    </xf>
    <xf numFmtId="164" fontId="10" fillId="6" borderId="2" applyAlignment="1" pivotButton="0" quotePrefix="0" xfId="0">
      <alignment horizontal="general" vertical="top" wrapText="1"/>
    </xf>
    <xf numFmtId="0" fontId="10" fillId="6" borderId="2" applyAlignment="1" pivotButton="0" quotePrefix="0" xfId="0">
      <alignment horizontal="general" vertical="top" wrapText="1"/>
    </xf>
    <xf numFmtId="0" fontId="20" fillId="0" borderId="2" applyAlignment="1" pivotButton="0" quotePrefix="0" xfId="0">
      <alignment horizontal="general" vertical="top" wrapText="1"/>
    </xf>
    <xf numFmtId="0" fontId="8" fillId="7" borderId="2" applyAlignment="1" pivotButton="0" quotePrefix="0" xfId="0">
      <alignment horizontal="general" vertical="top" wrapText="1"/>
    </xf>
    <xf numFmtId="0" fontId="9" fillId="7" borderId="2" applyAlignment="1" pivotButton="0" quotePrefix="0" xfId="0">
      <alignment horizontal="general" vertical="top" wrapText="1"/>
    </xf>
    <xf numFmtId="0" fontId="11" fillId="7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11" fillId="6" borderId="2" applyAlignment="1" pivotButton="0" quotePrefix="0" xfId="0">
      <alignment horizontal="general" vertical="top" wrapText="1"/>
    </xf>
    <xf numFmtId="0" fontId="21" fillId="9" borderId="0" pivotButton="0" quotePrefix="0" xfId="0"/>
    <xf numFmtId="0" fontId="22" fillId="0" borderId="0" pivotButton="0" quotePrefix="0" xfId="0"/>
    <xf numFmtId="0" fontId="23" fillId="9" borderId="0" applyAlignment="1" pivotButton="0" quotePrefix="0" xfId="0">
      <alignment horizontal="center"/>
    </xf>
    <xf numFmtId="0" fontId="24" fillId="10" borderId="0" pivotButton="0" quotePrefix="0" xfId="0"/>
    <xf numFmtId="0" fontId="23" fillId="11" borderId="0" pivotButton="0" quotePrefix="0" xfId="0"/>
    <xf numFmtId="0" fontId="26" fillId="9" borderId="0" pivotButton="0" quotePrefix="0" xfId="0"/>
    <xf numFmtId="0" fontId="26" fillId="12" borderId="0" pivotButton="0" quotePrefix="0" xfId="0"/>
    <xf numFmtId="0" fontId="24" fillId="13" borderId="0" pivotButton="0" quotePrefix="0" xfId="0"/>
    <xf numFmtId="0" fontId="27" fillId="14" borderId="0" pivotButton="0" quotePrefix="0" xfId="0"/>
    <xf numFmtId="0" fontId="28" fillId="14" borderId="0" pivotButton="0" quotePrefix="0" xfId="0"/>
    <xf numFmtId="0" fontId="29" fillId="15" borderId="0" pivotButton="0" quotePrefix="0" xfId="0"/>
    <xf numFmtId="0" fontId="30" fillId="13" borderId="0" pivotButton="0" quotePrefix="0" xfId="0"/>
    <xf numFmtId="0" fontId="31" fillId="13" borderId="0" pivotButton="0" quotePrefix="0" xfId="0"/>
    <xf numFmtId="0" fontId="32" fillId="16" borderId="0" pivotButton="0" quotePrefix="0" xfId="0"/>
    <xf numFmtId="0" fontId="33" fillId="1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A7029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7"/>
      <rgbColor rgb="FFE8F5E9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7FAFC"/>
      <rgbColor rgb="FFFFF3E0"/>
      <rgbColor rgb="FF99CCFF"/>
      <rgbColor rgb="FFFF99CC"/>
      <rgbColor rgb="FFCC99FF"/>
      <rgbColor rgb="FFFFEAEA"/>
      <rgbColor rgb="FF3366FF"/>
      <rgbColor rgb="FF33CCCC"/>
      <rgbColor rgb="FF99CC00"/>
      <rgbColor rgb="FFFFCC00"/>
      <rgbColor rgb="FFC49A2A"/>
      <rgbColor rgb="FFFF6600"/>
      <rgbColor rgb="FF4A5568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C0000"/>
    <outlinePr summaryBelow="1" summaryRight="1"/>
    <pageSetUpPr fitToPage="0"/>
  </sheetPr>
  <dimension ref="A1:F4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1" min="1" max="1"/>
    <col width="18" customWidth="1" style="41" min="2" max="4"/>
    <col width="14" customWidth="1" style="41" min="5" max="5"/>
    <col width="32" customWidth="1" style="41" min="6" max="6"/>
  </cols>
  <sheetData>
    <row r="1" ht="31.5" customHeight="1" s="42">
      <c r="A1" s="43" t="inlineStr">
        <is>
          <t>FINANCIAL MODEL RECONCILIATION — THREE SOURCES, ONE TRUTH</t>
        </is>
      </c>
      <c r="B1" s="44" t="n"/>
      <c r="C1" s="44" t="n"/>
      <c r="D1" s="44" t="n"/>
      <c r="E1" s="44" t="n"/>
      <c r="F1" s="44" t="n"/>
    </row>
    <row r="2" ht="15" customHeight="1" s="42">
      <c r="A2" s="45" t="inlineStr">
        <is>
          <t>PublicLogic LLC · May 2026 · Until this reconciles, no investor document should circulate.</t>
        </is>
      </c>
      <c r="B2" s="44" t="n"/>
      <c r="C2" s="44" t="n"/>
      <c r="D2" s="44" t="n"/>
      <c r="E2" s="44" t="n"/>
      <c r="F2" s="44" t="n"/>
    </row>
    <row r="4" ht="15" customHeight="1" s="42">
      <c r="A4" s="46" t="inlineStr">
        <is>
          <t>REVENUE MODEL</t>
        </is>
      </c>
      <c r="B4" s="44" t="n"/>
      <c r="C4" s="44" t="n"/>
      <c r="D4" s="44" t="n"/>
      <c r="E4" s="44" t="n"/>
      <c r="F4" s="47" t="n"/>
    </row>
    <row r="5" ht="26.25" customHeight="1" s="42">
      <c r="A5" s="48" t="inlineStr">
        <is>
          <t>Metric</t>
        </is>
      </c>
      <c r="B5" s="48" t="inlineStr">
        <is>
          <t>Source 1: EM&amp;S Deck</t>
        </is>
      </c>
      <c r="C5" s="48" t="inlineStr">
        <is>
          <t>Source 2: Dort Hwy Agreement</t>
        </is>
      </c>
      <c r="D5" s="48" t="inlineStr">
        <is>
          <t>Source 3: McCall Verbal</t>
        </is>
      </c>
      <c r="E5" s="48" t="inlineStr">
        <is>
          <t>Match?</t>
        </is>
      </c>
      <c r="F5" s="48" t="inlineStr">
        <is>
          <t>Resolution Required</t>
        </is>
      </c>
    </row>
    <row r="6" ht="36" customHeight="1" s="42">
      <c r="A6" s="49" t="inlineStr">
        <is>
          <t>Capacity (TPD)</t>
        </is>
      </c>
      <c r="B6" s="50" t="inlineStr">
        <is>
          <t>100 MT</t>
        </is>
      </c>
      <c r="C6" s="50" t="inlineStr">
        <is>
          <t>100 tons</t>
        </is>
      </c>
      <c r="D6" s="51" t="inlineStr">
        <is>
          <t>~100</t>
        </is>
      </c>
      <c r="E6" s="52" t="inlineStr">
        <is>
          <t>YES</t>
        </is>
      </c>
      <c r="F6" s="53" t="inlineStr">
        <is>
          <t>Confirm metric vs short tons. Use metric.</t>
        </is>
      </c>
    </row>
    <row r="7" ht="36" customHeight="1" s="42">
      <c r="A7" s="49" t="inlineStr">
        <is>
          <t>Operating Days/Year</t>
        </is>
      </c>
      <c r="B7" s="50" t="inlineStr">
        <is>
          <t>300</t>
        </is>
      </c>
      <c r="C7" s="50" t="inlineStr">
        <is>
          <t>Not stated</t>
        </is>
      </c>
      <c r="D7" s="51" t="inlineStr">
        <is>
          <t>Not stated</t>
        </is>
      </c>
      <c r="E7" s="54" t="inlineStr">
        <is>
          <t>ASSUME</t>
        </is>
      </c>
      <c r="F7" s="53" t="inlineStr">
        <is>
          <t>Default 300. Confirm with ops team.</t>
        </is>
      </c>
    </row>
    <row r="8" ht="36" customHeight="1" s="42">
      <c r="A8" s="49" t="inlineStr">
        <is>
          <t>Oil Yield (%)</t>
        </is>
      </c>
      <c r="B8" s="50" t="inlineStr">
        <is>
          <t>45%</t>
        </is>
      </c>
      <c r="C8" s="50" t="inlineStr">
        <is>
          <t>45%</t>
        </is>
      </c>
      <c r="D8" s="51" t="inlineStr">
        <is>
          <t>Not stated</t>
        </is>
      </c>
      <c r="E8" s="52" t="inlineStr">
        <is>
          <t>YES</t>
        </is>
      </c>
      <c r="F8" s="53" t="inlineStr">
        <is>
          <t>Consistent.</t>
        </is>
      </c>
    </row>
    <row r="9" ht="36" customHeight="1" s="42">
      <c r="A9" s="49" t="inlineStr">
        <is>
          <t>Carbon Black Yield (%)</t>
        </is>
      </c>
      <c r="B9" s="50" t="inlineStr">
        <is>
          <t>45%</t>
        </is>
      </c>
      <c r="C9" s="50" t="inlineStr">
        <is>
          <t>45%</t>
        </is>
      </c>
      <c r="D9" s="51" t="inlineStr">
        <is>
          <t>Not stated</t>
        </is>
      </c>
      <c r="E9" s="52" t="inlineStr">
        <is>
          <t>YES</t>
        </is>
      </c>
      <c r="F9" s="53" t="inlineStr">
        <is>
          <t>Consistent.</t>
        </is>
      </c>
    </row>
    <row r="10" ht="36" customHeight="1" s="42">
      <c r="A10" s="49" t="inlineStr">
        <is>
          <t>Oil Price ($/MT)</t>
        </is>
      </c>
      <c r="B10" s="55" t="n">
        <v>500</v>
      </c>
      <c r="C10" s="50" t="n"/>
      <c r="D10" s="51" t="n"/>
      <c r="E10" s="56" t="inlineStr">
        <is>
          <t>NO</t>
        </is>
      </c>
      <c r="F10" s="53" t="inlineStr">
        <is>
          <t>Deck: $500. Agreement implies ~$551. Gap: $51/MT = $689K/yr. Get contracted price.</t>
        </is>
      </c>
    </row>
    <row r="11" ht="36" customHeight="1" s="42">
      <c r="A11" s="49" t="inlineStr">
        <is>
          <t>Carbon Black Price ($/MT)</t>
        </is>
      </c>
      <c r="B11" s="55" t="n">
        <v>750</v>
      </c>
      <c r="C11" s="50" t="n"/>
      <c r="D11" s="51" t="n"/>
      <c r="E11" s="57" t="inlineStr">
        <is>
          <t>NO — CRITICAL</t>
        </is>
      </c>
      <c r="F11" s="53" t="inlineStr">
        <is>
          <t>Deck: $750. Agreement implies ~$1,282. Gap: $532/MT = $4.8M/yr. This is the primary discrepancy.</t>
        </is>
      </c>
    </row>
    <row r="12" ht="36" customHeight="1" s="42">
      <c r="A12" s="49" t="inlineStr">
        <is>
          <t>Oil Revenue (Annual)</t>
        </is>
      </c>
      <c r="B12" s="55" t="n">
        <v>6750000</v>
      </c>
      <c r="C12" s="55" t="n">
        <v>7433159</v>
      </c>
      <c r="D12" s="51" t="n"/>
      <c r="E12" s="56" t="inlineStr">
        <is>
          <t>NO</t>
        </is>
      </c>
      <c r="F12" s="53" t="inlineStr">
        <is>
          <t>Gap: $683,159. Driven by price difference.</t>
        </is>
      </c>
    </row>
    <row r="13" ht="36" customHeight="1" s="42">
      <c r="A13" s="49" t="inlineStr">
        <is>
          <t>Carbon Black Revenue (Annual)</t>
        </is>
      </c>
      <c r="B13" s="55" t="n">
        <v>10125000</v>
      </c>
      <c r="C13" s="55" t="n">
        <v>17307000</v>
      </c>
      <c r="D13" s="51" t="n"/>
      <c r="E13" s="57" t="inlineStr">
        <is>
          <t>NO — CRITICAL</t>
        </is>
      </c>
      <c r="F13" s="53" t="inlineStr">
        <is>
          <t>Gap: $7,182,000. Carbon black pricing drives nearly all of the revenue discrepancy.</t>
        </is>
      </c>
    </row>
    <row r="14" ht="36" customHeight="1" s="42">
      <c r="A14" s="49" t="inlineStr">
        <is>
          <t>TOTAL ANNUAL REVENUE</t>
        </is>
      </c>
      <c r="B14" s="55" t="n">
        <v>16875000</v>
      </c>
      <c r="C14" s="55" t="n">
        <v>24740159</v>
      </c>
      <c r="D14" s="51" t="n"/>
      <c r="E14" s="57" t="inlineStr">
        <is>
          <t>NO — CRITICAL</t>
        </is>
      </c>
      <c r="F14" s="53" t="inlineStr">
        <is>
          <t>Gap: $7,865,159. Must reconcile to one number before any investor communication.</t>
        </is>
      </c>
    </row>
    <row r="16" ht="15" customHeight="1" s="42">
      <c r="A16" s="46" t="inlineStr">
        <is>
          <t>EXPENSE MODEL</t>
        </is>
      </c>
      <c r="B16" s="44" t="n"/>
      <c r="C16" s="44" t="n"/>
      <c r="D16" s="44" t="n"/>
      <c r="E16" s="44" t="n"/>
      <c r="F16" s="47" t="n"/>
    </row>
    <row r="17" ht="26.25" customHeight="1" s="42">
      <c r="A17" s="48" t="inlineStr">
        <is>
          <t>Metric</t>
        </is>
      </c>
      <c r="B17" s="48" t="inlineStr">
        <is>
          <t>Source 1: EM&amp;S Deck</t>
        </is>
      </c>
      <c r="C17" s="48" t="inlineStr">
        <is>
          <t>Source 2: Dort Hwy Agreement</t>
        </is>
      </c>
      <c r="D17" s="48" t="inlineStr">
        <is>
          <t>Source 3: McCall Verbal</t>
        </is>
      </c>
      <c r="E17" s="48" t="inlineStr">
        <is>
          <t>Match?</t>
        </is>
      </c>
      <c r="F17" s="48" t="inlineStr">
        <is>
          <t>Resolution Required</t>
        </is>
      </c>
    </row>
    <row r="18" ht="48" customHeight="1" s="42">
      <c r="A18" s="49" t="inlineStr">
        <is>
          <t>Feedstock Cost ($/ton)</t>
        </is>
      </c>
      <c r="B18" s="55" t="n">
        <v>200</v>
      </c>
      <c r="C18" s="55" t="n">
        <v>25</v>
      </c>
      <c r="D18" s="51" t="n"/>
      <c r="E18" s="57" t="inlineStr">
        <is>
          <t>NO — CRITICAL</t>
        </is>
      </c>
      <c r="F18" s="53" t="inlineStr">
        <is>
          <t>Deck: $200/ton cost. Agreement: $25/ton tipping fee. These may measure different things (landed cost vs gate fee). Clarify with Robert.</t>
        </is>
      </c>
    </row>
    <row r="19" ht="48" customHeight="1" s="42">
      <c r="A19" s="49" t="inlineStr">
        <is>
          <t>Feedstock Quantity (tons/day)</t>
        </is>
      </c>
      <c r="B19" s="55" t="n">
        <v>62</v>
      </c>
      <c r="C19" s="50" t="n"/>
      <c r="D19" s="51" t="n"/>
      <c r="E19" s="54" t="inlineStr">
        <is>
          <t>UNCLEAR</t>
        </is>
      </c>
      <c r="F19" s="53" t="inlineStr">
        <is>
          <t>Deck expenses show 62 TPD but capacity is 100 TPD. Is 62 the net input after prep? Clarify.</t>
        </is>
      </c>
    </row>
    <row r="20" ht="48" customHeight="1" s="42">
      <c r="A20" s="49" t="inlineStr">
        <is>
          <t>Feedstock Annual Cost</t>
        </is>
      </c>
      <c r="B20" s="55" t="n">
        <v>3720000</v>
      </c>
      <c r="C20" s="55" t="n">
        <v>1000000</v>
      </c>
      <c r="D20" s="51" t="n"/>
      <c r="E20" s="57" t="inlineStr">
        <is>
          <t>NO — CRITICAL</t>
        </is>
      </c>
      <c r="F20" s="53" t="inlineStr">
        <is>
          <t>62t×$200×300=$3.72M (deck) vs 40K tons×$25=$1M (agreement). $2.72M gap. Must resolve.</t>
        </is>
      </c>
    </row>
    <row r="21" ht="48" customHeight="1" s="42">
      <c r="A21" s="49" t="inlineStr">
        <is>
          <t>Personnel (headcount)</t>
        </is>
      </c>
      <c r="B21" s="55" t="n">
        <v>10</v>
      </c>
      <c r="C21" s="50" t="n"/>
      <c r="D21" s="51" t="n"/>
      <c r="E21" s="54" t="inlineStr">
        <is>
          <t>QUESTION</t>
        </is>
      </c>
      <c r="F21" s="53" t="inlineStr">
        <is>
          <t>10 staff for 24/7 pyrolysis ops flagged as potentially understaffed. Review with WasteWerx.</t>
        </is>
      </c>
    </row>
    <row r="22" ht="48" customHeight="1" s="42">
      <c r="A22" s="49" t="inlineStr">
        <is>
          <t>Personnel Cost</t>
        </is>
      </c>
      <c r="B22" s="55" t="n">
        <v>550000</v>
      </c>
      <c r="C22" s="50" t="n"/>
      <c r="D22" s="51" t="n"/>
      <c r="E22" s="54" t="inlineStr">
        <is>
          <t>ASSUME</t>
        </is>
      </c>
      <c r="F22" s="53" t="inlineStr">
        <is>
          <t>$55K avg. Unchanged pending headcount review.</t>
        </is>
      </c>
    </row>
    <row r="23" ht="48" customHeight="1" s="42">
      <c r="A23" s="49" t="inlineStr">
        <is>
          <t>State + Local Tax</t>
        </is>
      </c>
      <c r="B23" s="55" t="n">
        <v>1012500</v>
      </c>
      <c r="C23" s="50" t="n"/>
      <c r="D23" s="51" t="n"/>
      <c r="E23" s="57" t="inlineStr">
        <is>
          <t>ERROR</t>
        </is>
      </c>
      <c r="F23" s="53" t="inlineStr">
        <is>
          <t>Calculated at 6% of GROSS revenue. Should be on net income. Overstates tax by ~$800K+.</t>
        </is>
      </c>
    </row>
    <row r="24" ht="48" customHeight="1" s="42">
      <c r="A24" s="49" t="inlineStr">
        <is>
          <t>Federal Tax</t>
        </is>
      </c>
      <c r="B24" s="55" t="n">
        <v>1012500</v>
      </c>
      <c r="C24" s="50" t="n"/>
      <c r="D24" s="51" t="n"/>
      <c r="E24" s="57" t="inlineStr">
        <is>
          <t>ERROR</t>
        </is>
      </c>
      <c r="F24" s="53" t="inlineStr">
        <is>
          <t>Same issue. 6% on gross, not net. Overstates by ~$800K+.</t>
        </is>
      </c>
    </row>
    <row r="25" ht="48" customHeight="1" s="42">
      <c r="A25" s="49" t="inlineStr">
        <is>
          <t>Legal + Accounting</t>
        </is>
      </c>
      <c r="B25" s="55" t="n">
        <v>1249992</v>
      </c>
      <c r="C25" s="50" t="n"/>
      <c r="D25" s="51" t="n"/>
      <c r="E25" s="56" t="inlineStr">
        <is>
          <t>HIGH</t>
        </is>
      </c>
      <c r="F25" s="53" t="inlineStr">
        <is>
          <t>$104K/month. 7.4% of gross. Should break out PublicLogic scope separately.</t>
        </is>
      </c>
    </row>
    <row r="26" ht="48" customHeight="1" s="42">
      <c r="A26" s="49" t="inlineStr">
        <is>
          <t>Security</t>
        </is>
      </c>
      <c r="B26" s="55" t="n">
        <v>360000</v>
      </c>
      <c r="C26" s="50" t="n"/>
      <c r="D26" s="51" t="n"/>
      <c r="E26" s="54" t="inlineStr">
        <is>
          <t>ASSUME</t>
        </is>
      </c>
      <c r="F26" s="53" t="inlineStr">
        <is>
          <t>$30K/month. Seems high for a 10-person facility. Review.</t>
        </is>
      </c>
    </row>
    <row r="27" ht="48" customHeight="1" s="42">
      <c r="A27" s="49" t="inlineStr">
        <is>
          <t>Investor Return (in OpEx)</t>
        </is>
      </c>
      <c r="B27" s="55" t="n">
        <v>5000000</v>
      </c>
      <c r="C27" s="55" t="n">
        <v>5000000</v>
      </c>
      <c r="D27" s="51" t="n"/>
      <c r="E27" s="56" t="inlineStr">
        <is>
          <t>NO</t>
        </is>
      </c>
      <c r="F27" s="53" t="inlineStr">
        <is>
          <t>Deck OpEx table shows $5M/yr. But deck Investment Structure says $3.5M/yr. Internal contradiction.</t>
        </is>
      </c>
    </row>
    <row r="28" ht="48" customHeight="1" s="42">
      <c r="A28" s="49" t="inlineStr">
        <is>
          <t>TOTAL EXPENSES</t>
        </is>
      </c>
      <c r="B28" s="55" t="n">
        <v>13493952</v>
      </c>
      <c r="C28" s="50" t="n"/>
      <c r="D28" s="51" t="n"/>
      <c r="E28" s="54" t="inlineStr">
        <is>
          <t>INCOMPLETE</t>
        </is>
      </c>
      <c r="F28" s="53" t="inlineStr">
        <is>
          <t>Agreement does not provide comparable expense detail.</t>
        </is>
      </c>
    </row>
    <row r="30" ht="15" customHeight="1" s="42">
      <c r="A30" s="46" t="inlineStr">
        <is>
          <t>DEVELOPMENT COST</t>
        </is>
      </c>
      <c r="B30" s="44" t="n"/>
      <c r="C30" s="44" t="n"/>
      <c r="D30" s="44" t="n"/>
      <c r="E30" s="44" t="n"/>
      <c r="F30" s="47" t="n"/>
    </row>
    <row r="31" ht="26.25" customHeight="1" s="42">
      <c r="A31" s="48" t="inlineStr">
        <is>
          <t>Metric</t>
        </is>
      </c>
      <c r="B31" s="48" t="inlineStr">
        <is>
          <t>Source 1: EM&amp;S Deck</t>
        </is>
      </c>
      <c r="C31" s="48" t="inlineStr">
        <is>
          <t>Source 2: Dort Hwy Agreement</t>
        </is>
      </c>
      <c r="D31" s="48" t="inlineStr">
        <is>
          <t>Source 3: McCall Verbal</t>
        </is>
      </c>
      <c r="E31" s="48" t="inlineStr">
        <is>
          <t>Match?</t>
        </is>
      </c>
      <c r="F31" s="48" t="inlineStr">
        <is>
          <t>Resolution Required</t>
        </is>
      </c>
    </row>
    <row r="32" ht="42" customHeight="1" s="42">
      <c r="A32" s="49" t="inlineStr">
        <is>
          <t>Total Development Cost</t>
        </is>
      </c>
      <c r="B32" s="55" t="n">
        <v>12203200</v>
      </c>
      <c r="C32" s="51" t="n"/>
      <c r="D32" s="55" t="n">
        <v>15000000</v>
      </c>
      <c r="E32" s="56" t="inlineStr">
        <is>
          <t>NO</t>
        </is>
      </c>
      <c r="F32" s="53" t="inlineStr">
        <is>
          <t>Deck: $12.2M. McCall: $15M. Gap: $2.8M. Likely second process ($2M) + expanded contingency.</t>
        </is>
      </c>
    </row>
    <row r="33" ht="42" customHeight="1" s="42">
      <c r="A33" s="49" t="inlineStr">
        <is>
          <t>Depolymerization Plant</t>
        </is>
      </c>
      <c r="B33" s="55" t="n">
        <v>4600000</v>
      </c>
      <c r="C33" s="51" t="n"/>
      <c r="D33" s="51" t="n"/>
      <c r="E33" s="54" t="inlineStr">
        <is>
          <t>ASSUME</t>
        </is>
      </c>
      <c r="F33" s="53" t="inlineStr">
        <is>
          <t>2 units @ $2.3M. Confirm with WasteWerx current pricing.</t>
        </is>
      </c>
    </row>
    <row r="34" ht="42" customHeight="1" s="42">
      <c r="A34" s="49" t="inlineStr">
        <is>
          <t>Second Process Addition</t>
        </is>
      </c>
      <c r="B34" s="55" t="n">
        <v>0</v>
      </c>
      <c r="C34" s="51" t="n"/>
      <c r="D34" s="55" t="n">
        <v>2000000</v>
      </c>
      <c r="E34" s="56" t="inlineStr">
        <is>
          <t>NEW</t>
        </is>
      </c>
      <c r="F34" s="53" t="inlineStr">
        <is>
          <t>Added per McCall. Not in deck. Needs line item and spec.</t>
        </is>
      </c>
    </row>
    <row r="35" ht="42" customHeight="1" s="42">
      <c r="A35" s="49" t="inlineStr">
        <is>
          <t>Contingency</t>
        </is>
      </c>
      <c r="B35" s="55" t="n">
        <v>800000</v>
      </c>
      <c r="C35" s="51" t="n"/>
      <c r="D35" s="51" t="n"/>
      <c r="E35" s="54" t="inlineStr">
        <is>
          <t>REDUCED</t>
        </is>
      </c>
      <c r="F35" s="53" t="inlineStr">
        <is>
          <t>Was $800K (8%). If $175K goes to PublicLogic, becomes $625K. If second process added, needs recalc.</t>
        </is>
      </c>
    </row>
    <row r="37" ht="15" customHeight="1" s="42">
      <c r="A37" s="46" t="inlineStr">
        <is>
          <t>INVESTOR RETURN STRUCTURE</t>
        </is>
      </c>
      <c r="B37" s="44" t="n"/>
      <c r="C37" s="44" t="n"/>
      <c r="D37" s="44" t="n"/>
      <c r="E37" s="44" t="n"/>
      <c r="F37" s="47" t="n"/>
    </row>
    <row r="38" ht="26.25" customHeight="1" s="42">
      <c r="A38" s="48" t="inlineStr">
        <is>
          <t>Metric</t>
        </is>
      </c>
      <c r="B38" s="48" t="inlineStr">
        <is>
          <t>Source 1: EM&amp;S Deck</t>
        </is>
      </c>
      <c r="C38" s="48" t="inlineStr">
        <is>
          <t>Source 2: Dort Hwy Agreement</t>
        </is>
      </c>
      <c r="D38" s="48" t="inlineStr">
        <is>
          <t>Source 3: McCall Verbal</t>
        </is>
      </c>
      <c r="E38" s="48" t="inlineStr">
        <is>
          <t>Match?</t>
        </is>
      </c>
      <c r="F38" s="48" t="inlineStr">
        <is>
          <t>Resolution Required</t>
        </is>
      </c>
    </row>
    <row r="39" ht="48" customHeight="1" s="42">
      <c r="A39" s="49" t="inlineStr">
        <is>
          <t>Capital Raise</t>
        </is>
      </c>
      <c r="B39" s="55" t="n">
        <v>10000000</v>
      </c>
      <c r="C39" s="51" t="n"/>
      <c r="D39" s="51" t="n"/>
      <c r="E39" s="54" t="inlineStr">
        <is>
          <t>ASSUME</t>
        </is>
      </c>
      <c r="F39" s="53" t="inlineStr">
        <is>
          <t>Consistent where stated.</t>
        </is>
      </c>
    </row>
    <row r="40" ht="48" customHeight="1" s="42">
      <c r="A40" s="49" t="inlineStr">
        <is>
          <t>Annual Return</t>
        </is>
      </c>
      <c r="B40" s="55" t="n">
        <v>3500000</v>
      </c>
      <c r="C40" s="55" t="n">
        <v>5000000</v>
      </c>
      <c r="D40" s="51" t="n"/>
      <c r="E40" s="57" t="inlineStr">
        <is>
          <t>NO — CRITICAL</t>
        </is>
      </c>
      <c r="F40" s="53" t="inlineStr">
        <is>
          <t>Deck: $3.5M/yr. Agreement: $5M/yr. $1.5M/yr gap. Two different deals.</t>
        </is>
      </c>
    </row>
    <row r="41" ht="48" customHeight="1" s="42">
      <c r="A41" s="49" t="inlineStr">
        <is>
          <t>Return Period</t>
        </is>
      </c>
      <c r="B41" s="51" t="inlineStr">
        <is>
          <t>4 years</t>
        </is>
      </c>
      <c r="C41" s="51" t="inlineStr">
        <is>
          <t>5 years + balloon</t>
        </is>
      </c>
      <c r="D41" s="51" t="inlineStr">
        <is>
          <t>≈4 years</t>
        </is>
      </c>
      <c r="E41" s="57" t="inlineStr">
        <is>
          <t>NO — CRITICAL</t>
        </is>
      </c>
      <c r="F41" s="53" t="inlineStr">
        <is>
          <t>Deck: 4 yr. Agreement: annual + $15M balloon Y5. McCall: ≈4 yr. Three versions.</t>
        </is>
      </c>
    </row>
    <row r="42" ht="48" customHeight="1" s="42">
      <c r="A42" s="49" t="inlineStr">
        <is>
          <t>Total Investor Return</t>
        </is>
      </c>
      <c r="B42" s="55" t="n">
        <v>14000000</v>
      </c>
      <c r="C42" s="55" t="n">
        <v>35000000</v>
      </c>
      <c r="D42" s="51" t="n"/>
      <c r="E42" s="57" t="inlineStr">
        <is>
          <t>NO — CRITICAL</t>
        </is>
      </c>
      <c r="F42" s="53" t="inlineStr">
        <is>
          <t>Deck: $14M. Agreement: $5M×5+$15M=$40M. Gap: $26M. Completely different deals.</t>
        </is>
      </c>
    </row>
    <row r="43" ht="48" customHeight="1" s="42">
      <c r="A43" s="49" t="inlineStr">
        <is>
          <t>Deck Internal Contradiction</t>
        </is>
      </c>
      <c r="B43" s="51" t="inlineStr">
        <is>
          <t>$3.5M/yr (structure)</t>
        </is>
      </c>
      <c r="C43" s="51" t="inlineStr">
        <is>
          <t>$5M/yr (expense table)</t>
        </is>
      </c>
      <c r="D43" s="51" t="n"/>
      <c r="E43" s="57" t="inlineStr">
        <is>
          <t>NO — INTERNAL</t>
        </is>
      </c>
      <c r="F43" s="53" t="inlineStr">
        <is>
          <t>The DECK ITSELF shows $3.5M in the investment structure but $5M in the expense table.</t>
        </is>
      </c>
    </row>
    <row r="44" ht="48" customHeight="1" s="42">
      <c r="A44" s="49" t="inlineStr">
        <is>
          <t>Investor Equity %</t>
        </is>
      </c>
      <c r="B44" s="51" t="inlineStr">
        <is>
          <t>30%</t>
        </is>
      </c>
      <c r="C44" s="51" t="n"/>
      <c r="D44" s="51" t="inlineStr">
        <is>
          <t>30%</t>
        </is>
      </c>
      <c r="E44" s="58" t="inlineStr">
        <is>
          <t>YES</t>
        </is>
      </c>
      <c r="F44" s="53" t="inlineStr">
        <is>
          <t>Consistent.</t>
        </is>
      </c>
    </row>
    <row r="45" ht="48" customHeight="1" s="42">
      <c r="A45" s="49" t="inlineStr">
        <is>
          <t>Revenue Distribution</t>
        </is>
      </c>
      <c r="B45" s="51" t="n"/>
      <c r="C45" s="51" t="inlineStr">
        <is>
          <t>54.5% allocated</t>
        </is>
      </c>
      <c r="D45" s="51" t="n"/>
      <c r="E45" s="56" t="inlineStr">
        <is>
          <t>INCOMPLETE</t>
        </is>
      </c>
      <c r="F45" s="53" t="inlineStr">
        <is>
          <t>Operator 21% + Owner 12% + Supplier 1.5% + REIT 20% = 54.5%. 45.5% undefined.</t>
        </is>
      </c>
    </row>
    <row r="46" ht="48" customHeight="1" s="42">
      <c r="A46" s="49" t="inlineStr">
        <is>
          <t>Securities Compliance</t>
        </is>
      </c>
      <c r="B46" s="51" t="inlineStr">
        <is>
          <t>None evident</t>
        </is>
      </c>
      <c r="C46" s="51" t="inlineStr">
        <is>
          <t>None evident</t>
        </is>
      </c>
      <c r="D46" s="51" t="n"/>
      <c r="E46" s="56" t="inlineStr">
        <is>
          <t>GAP</t>
        </is>
      </c>
      <c r="F46" s="53" t="inlineStr">
        <is>
          <t>Both structures likely securities offerings. No Reg D, PPM, or sub docs in materials.</t>
        </is>
      </c>
    </row>
  </sheetData>
  <mergeCells count="6">
    <mergeCell ref="A2:F2"/>
    <mergeCell ref="A16:F16"/>
    <mergeCell ref="A1:F1"/>
    <mergeCell ref="A37:F37"/>
    <mergeCell ref="A4:F4"/>
    <mergeCell ref="A30:F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A7029"/>
    <outlinePr summaryBelow="1" summaryRight="1"/>
    <pageSetUpPr fitToPage="0"/>
  </sheetPr>
  <dimension ref="A1:E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1" min="1" max="1"/>
    <col width="36" customWidth="1" style="41" min="2" max="2"/>
    <col width="18" customWidth="1" style="41" min="3" max="4"/>
    <col width="30" customWidth="1" style="41" min="5" max="5"/>
  </cols>
  <sheetData>
    <row r="1" ht="31.5" customHeight="1" s="42">
      <c r="A1" s="43" t="inlineStr">
        <is>
          <t>RECONCILED FINANCIAL MODEL — SINGLE SOURCE OF TRUTH</t>
        </is>
      </c>
      <c r="B1" s="44" t="n"/>
      <c r="C1" s="44" t="n"/>
      <c r="D1" s="44" t="n"/>
      <c r="E1" s="44" t="n"/>
    </row>
    <row r="2" ht="15" customHeight="1" s="42">
      <c r="A2" s="59" t="inlineStr">
        <is>
          <t>Blue cells are inputs. Black cells are formulas. Adjust blue cells to reconcile.</t>
        </is>
      </c>
      <c r="B2" s="44" t="n"/>
      <c r="C2" s="44" t="n"/>
      <c r="D2" s="44" t="n"/>
      <c r="E2" s="44" t="n"/>
    </row>
    <row r="4" ht="15" customHeight="1" s="42">
      <c r="A4" s="46" t="inlineStr">
        <is>
          <t>ASSUMPTIONS — ADJUST BLUE CELLS</t>
        </is>
      </c>
      <c r="B4" s="44" t="n"/>
      <c r="C4" s="44" t="n"/>
      <c r="D4" s="44" t="n"/>
      <c r="E4" s="47" t="n"/>
    </row>
    <row r="5" ht="21.75" customHeight="1" s="42">
      <c r="B5" s="49" t="inlineStr">
        <is>
          <t>Capacity (metric tons/day)</t>
        </is>
      </c>
      <c r="C5" s="55" t="n">
        <v>100</v>
      </c>
      <c r="D5" s="51" t="n"/>
      <c r="E5" s="53" t="inlineStr">
        <is>
          <t>Confirm metric vs short with WasteWerx</t>
        </is>
      </c>
    </row>
    <row r="6" ht="15" customHeight="1" s="42">
      <c r="B6" s="49" t="inlineStr">
        <is>
          <t>Operating days/year</t>
        </is>
      </c>
      <c r="C6" s="55" t="n">
        <v>300</v>
      </c>
      <c r="D6" s="51" t="n"/>
      <c r="E6" s="53" t="inlineStr">
        <is>
          <t>Industry standard for pyrolysis</t>
        </is>
      </c>
    </row>
    <row r="7" ht="15" customHeight="1" s="42">
      <c r="B7" s="49" t="inlineStr">
        <is>
          <t>Oil yield (%)</t>
        </is>
      </c>
      <c r="C7" s="60" t="n">
        <v>0.45</v>
      </c>
      <c r="D7" s="51" t="n"/>
      <c r="E7" s="53" t="inlineStr">
        <is>
          <t>Consistent across both sources</t>
        </is>
      </c>
    </row>
    <row r="8" ht="15" customHeight="1" s="42">
      <c r="B8" s="49" t="inlineStr">
        <is>
          <t>Carbon black yield (%)</t>
        </is>
      </c>
      <c r="C8" s="60" t="n">
        <v>0.45</v>
      </c>
      <c r="D8" s="51" t="n"/>
      <c r="E8" s="53" t="inlineStr">
        <is>
          <t>Consistent across both sources</t>
        </is>
      </c>
    </row>
    <row r="9" ht="32.25" customHeight="1" s="42">
      <c r="B9" s="49" t="inlineStr">
        <is>
          <t>Oil price ($/MT)</t>
        </is>
      </c>
      <c r="C9" s="55" t="n">
        <v>500</v>
      </c>
      <c r="D9" s="51" t="n"/>
      <c r="E9" s="53" t="inlineStr">
        <is>
          <t>RECONCILE: Deck says $500. Agreement implies $551. Enter contracted price.</t>
        </is>
      </c>
    </row>
    <row r="10" ht="32.25" customHeight="1" s="42">
      <c r="B10" s="49" t="inlineStr">
        <is>
          <t>Carbon black price ($/MT)</t>
        </is>
      </c>
      <c r="C10" s="55" t="n">
        <v>750</v>
      </c>
      <c r="D10" s="51" t="n"/>
      <c r="E10" s="53" t="inlineStr">
        <is>
          <t>RECONCILE: Deck says $750. Agreement implies $1,282. Enter contracted price.</t>
        </is>
      </c>
    </row>
    <row r="11" ht="32.25" customHeight="1" s="42">
      <c r="B11" s="49" t="inlineStr">
        <is>
          <t>Feedstock cost ($/ton)</t>
        </is>
      </c>
      <c r="C11" s="55" t="n">
        <v>200</v>
      </c>
      <c r="D11" s="51" t="n"/>
      <c r="E11" s="53" t="inlineStr">
        <is>
          <t>RECONCILE: Deck says $200. Agreement says $25 tipping. Enter actual landed cost.</t>
        </is>
      </c>
    </row>
    <row r="12" ht="21.75" customHeight="1" s="42">
      <c r="B12" s="49" t="inlineStr">
        <is>
          <t>Feedstock input (tons/day)</t>
        </is>
      </c>
      <c r="C12" s="61" t="n">
        <v>62</v>
      </c>
      <c r="D12" s="51" t="n"/>
      <c r="E12" s="53" t="inlineStr">
        <is>
          <t>Deck uses 62 in expenses but 100 capacity. Clarify.</t>
        </is>
      </c>
    </row>
    <row r="13" ht="15" customHeight="1" s="42">
      <c r="B13" s="49" t="inlineStr">
        <is>
          <t>Headcount</t>
        </is>
      </c>
      <c r="C13" s="61" t="n">
        <v>10</v>
      </c>
      <c r="D13" s="51" t="n"/>
      <c r="E13" s="53" t="inlineStr">
        <is>
          <t>Flagged: is 10 realistic for 24/7 ops?</t>
        </is>
      </c>
    </row>
    <row r="14" ht="15" customHeight="1" s="42">
      <c r="B14" s="49" t="inlineStr">
        <is>
          <t>Avg salary</t>
        </is>
      </c>
      <c r="C14" s="55" t="n">
        <v>55000</v>
      </c>
      <c r="D14" s="51" t="n"/>
      <c r="E14" s="53" t="inlineStr">
        <is>
          <t>Per deck</t>
        </is>
      </c>
    </row>
    <row r="15" ht="32.25" customHeight="1" s="42">
      <c r="B15" s="49" t="inlineStr">
        <is>
          <t>Investor return ($/year)</t>
        </is>
      </c>
      <c r="C15" s="55" t="n">
        <v>3500000</v>
      </c>
      <c r="D15" s="51" t="n"/>
      <c r="E15" s="53" t="inlineStr">
        <is>
          <t>RECONCILE: Deck structure says $3.5M. Deck expenses say $5M. Agreement says $5M.</t>
        </is>
      </c>
    </row>
    <row r="16" ht="21.75" customHeight="1" s="42">
      <c r="B16" s="49" t="inlineStr">
        <is>
          <t>Investor return period (years)</t>
        </is>
      </c>
      <c r="C16" s="61" t="n">
        <v>4</v>
      </c>
      <c r="D16" s="51" t="n"/>
      <c r="E16" s="53" t="inlineStr">
        <is>
          <t>RECONCILE: Deck says 4. Agreement says 5 + balloon.</t>
        </is>
      </c>
    </row>
    <row r="17" ht="21.75" customHeight="1" s="42">
      <c r="B17" s="49" t="inlineStr">
        <is>
          <t>State + local tax rate</t>
        </is>
      </c>
      <c r="C17" s="60" t="n">
        <v>0.06</v>
      </c>
      <c r="D17" s="51" t="n"/>
      <c r="E17" s="53" t="inlineStr">
        <is>
          <t>RECONCILE: Currently on gross. Should be on net income.</t>
        </is>
      </c>
    </row>
    <row r="18" ht="21.75" customHeight="1" s="42">
      <c r="B18" s="49" t="inlineStr">
        <is>
          <t>Federal tax rate</t>
        </is>
      </c>
      <c r="C18" s="60" t="n">
        <v>0.06</v>
      </c>
      <c r="D18" s="51" t="n"/>
      <c r="E18" s="53" t="inlineStr">
        <is>
          <t>Same issue. Should be on net, not gross.</t>
        </is>
      </c>
    </row>
    <row r="20" ht="15" customHeight="1" s="42">
      <c r="A20" s="46" t="inlineStr">
        <is>
          <t>REVENUE (CALCULATED FROM ASSUMPTIONS)</t>
        </is>
      </c>
      <c r="B20" s="44" t="n"/>
      <c r="C20" s="44" t="n"/>
      <c r="D20" s="44" t="n"/>
      <c r="E20" s="47" t="n"/>
    </row>
    <row r="21" ht="15" customHeight="1" s="42">
      <c r="A21" s="48" t="n"/>
      <c r="B21" s="48" t="inlineStr">
        <is>
          <t>Revenue Stream</t>
        </is>
      </c>
      <c r="C21" s="48" t="inlineStr">
        <is>
          <t>Annual Amount</t>
        </is>
      </c>
      <c r="D21" s="48" t="n"/>
      <c r="E21" s="48" t="inlineStr">
        <is>
          <t>Calculation</t>
        </is>
      </c>
    </row>
    <row r="22" ht="15" customHeight="1" s="42">
      <c r="B22" s="49" t="inlineStr">
        <is>
          <t>Pyrolysis Oil</t>
        </is>
      </c>
      <c r="C22" s="62">
        <f>C5*C6*C7*C9</f>
        <v/>
      </c>
      <c r="E22" s="53" t="inlineStr">
        <is>
          <t>Capacity x Days x Oil Yield x Oil Price</t>
        </is>
      </c>
    </row>
    <row r="23" ht="15" customHeight="1" s="42">
      <c r="B23" s="49" t="inlineStr">
        <is>
          <t>Carbon Black</t>
        </is>
      </c>
      <c r="C23" s="62">
        <f>C5*C6*C8*C10</f>
        <v/>
      </c>
      <c r="E23" s="53" t="inlineStr">
        <is>
          <t>Capacity x Days x CB Yield x CB Price</t>
        </is>
      </c>
    </row>
    <row r="24" ht="15" customHeight="1" s="42">
      <c r="B24" s="63" t="inlineStr">
        <is>
          <t>TOTAL REVENUE</t>
        </is>
      </c>
      <c r="C24" s="64">
        <f>SUM(C22:C23)</f>
        <v/>
      </c>
      <c r="D24" s="65" t="n"/>
      <c r="E24" s="65" t="n"/>
    </row>
    <row r="26" ht="15" customHeight="1" s="42">
      <c r="A26" s="46" t="inlineStr">
        <is>
          <t>EXPENSES (CALCULATED FROM ASSUMPTIONS)</t>
        </is>
      </c>
      <c r="B26" s="44" t="n"/>
      <c r="C26" s="44" t="n"/>
      <c r="D26" s="44" t="n"/>
      <c r="E26" s="47" t="n"/>
    </row>
    <row r="27" ht="15" customHeight="1" s="42">
      <c r="A27" s="48" t="n"/>
      <c r="B27" s="48" t="inlineStr">
        <is>
          <t>Expense</t>
        </is>
      </c>
      <c r="C27" s="48" t="inlineStr">
        <is>
          <t>Annual Amount</t>
        </is>
      </c>
      <c r="D27" s="48" t="n"/>
      <c r="E27" s="48" t="inlineStr">
        <is>
          <t>Notes</t>
        </is>
      </c>
    </row>
    <row r="28" ht="21.75" customHeight="1" s="42">
      <c r="B28" s="49" t="inlineStr">
        <is>
          <t>Raw Materials</t>
        </is>
      </c>
      <c r="C28" s="62">
        <f>C12*C11*C6</f>
        <v/>
      </c>
      <c r="E28" s="53" t="inlineStr">
        <is>
          <t>Feedstock input × cost × operating days</t>
        </is>
      </c>
    </row>
    <row r="29" ht="15" customHeight="1" s="42">
      <c r="B29" s="49" t="inlineStr">
        <is>
          <t>Personnel</t>
        </is>
      </c>
      <c r="C29" s="62">
        <f>C13*C14</f>
        <v/>
      </c>
      <c r="E29" s="53" t="inlineStr">
        <is>
          <t>Headcount × avg salary</t>
        </is>
      </c>
    </row>
    <row r="30" ht="15" customHeight="1" s="42">
      <c r="B30" s="49" t="inlineStr">
        <is>
          <t>Payroll Tax</t>
        </is>
      </c>
      <c r="C30" s="62" t="n">
        <v>84000</v>
      </c>
      <c r="E30" s="53" t="inlineStr">
        <is>
          <t>Per deck</t>
        </is>
      </c>
    </row>
    <row r="31" ht="21.75" customHeight="1" s="42">
      <c r="B31" s="49" t="inlineStr">
        <is>
          <t>Legal + Accounting</t>
        </is>
      </c>
      <c r="C31" s="62" t="n">
        <v>1249992</v>
      </c>
      <c r="E31" s="53" t="inlineStr">
        <is>
          <t>$104K/month per deck. Break out PublicLogic separately.</t>
        </is>
      </c>
    </row>
    <row r="32" ht="15" customHeight="1" s="42">
      <c r="B32" s="49" t="inlineStr">
        <is>
          <t>Security</t>
        </is>
      </c>
      <c r="C32" s="62" t="n">
        <v>360000</v>
      </c>
      <c r="E32" s="53" t="inlineStr">
        <is>
          <t>$30K/month per deck</t>
        </is>
      </c>
    </row>
    <row r="33" ht="15" customHeight="1" s="42">
      <c r="B33" s="49" t="inlineStr">
        <is>
          <t>Parts + Maintenance</t>
        </is>
      </c>
      <c r="C33" s="62" t="n">
        <v>42000</v>
      </c>
      <c r="E33" s="53" t="inlineStr">
        <is>
          <t>Per deck</t>
        </is>
      </c>
    </row>
    <row r="34" ht="15" customHeight="1" s="42">
      <c r="B34" s="49" t="inlineStr">
        <is>
          <t>Insurance</t>
        </is>
      </c>
      <c r="C34" s="62" t="n">
        <v>78000</v>
      </c>
      <c r="E34" s="53" t="inlineStr">
        <is>
          <t>Per deck</t>
        </is>
      </c>
    </row>
    <row r="35" ht="15" customHeight="1" s="42">
      <c r="B35" s="49" t="inlineStr">
        <is>
          <t>Property Tax</t>
        </is>
      </c>
      <c r="C35" s="62" t="n">
        <v>168000</v>
      </c>
      <c r="E35" s="53" t="inlineStr">
        <is>
          <t>Per deck</t>
        </is>
      </c>
    </row>
    <row r="36" ht="15" customHeight="1" s="42">
      <c r="B36" s="49" t="inlineStr">
        <is>
          <t>Financing + Interest</t>
        </is>
      </c>
      <c r="C36" s="62" t="n">
        <v>120000</v>
      </c>
      <c r="E36" s="53" t="inlineStr">
        <is>
          <t>Per deck</t>
        </is>
      </c>
    </row>
    <row r="37" ht="15" customHeight="1" s="42">
      <c r="B37" s="49" t="inlineStr">
        <is>
          <t>Utilities (electric + water)</t>
        </is>
      </c>
      <c r="C37" s="62" t="n">
        <v>96960</v>
      </c>
      <c r="E37" s="53" t="inlineStr">
        <is>
          <t>Per deck</t>
        </is>
      </c>
    </row>
    <row r="38" ht="23.25" customHeight="1" s="42">
      <c r="B38" s="49" t="inlineStr">
        <is>
          <t>State + Local Tax (ON NET)</t>
        </is>
      </c>
      <c r="C38" s="66">
        <f>(C24-SUM(C28:C37))*C17</f>
        <v/>
      </c>
      <c r="E38" s="67" t="inlineStr">
        <is>
          <t>CORRECTED: Applied to net income, not gross revenue</t>
        </is>
      </c>
    </row>
    <row r="39" ht="23.25" customHeight="1" s="42">
      <c r="B39" s="49" t="inlineStr">
        <is>
          <t>Federal Tax (ON NET)</t>
        </is>
      </c>
      <c r="C39" s="66">
        <f>(C24-SUM(C28:C37))*C18</f>
        <v/>
      </c>
      <c r="E39" s="67" t="inlineStr">
        <is>
          <t>CORRECTED: Applied to net income, not gross revenue</t>
        </is>
      </c>
    </row>
    <row r="40" ht="23.25" customHeight="1" s="42">
      <c r="B40" s="49" t="inlineStr">
        <is>
          <t>Investor Return</t>
        </is>
      </c>
      <c r="C40" s="55">
        <f>C15</f>
        <v/>
      </c>
      <c r="E40" s="67" t="inlineStr">
        <is>
          <t>RECONCILE: Which return structure? $3.5M or $5M?</t>
        </is>
      </c>
    </row>
    <row r="41" ht="15" customHeight="1" s="42">
      <c r="B41" s="63" t="inlineStr">
        <is>
          <t>TOTAL EXPENSES</t>
        </is>
      </c>
      <c r="C41" s="64">
        <f>SUM(C28:C40)</f>
        <v/>
      </c>
      <c r="D41" s="65" t="n"/>
      <c r="E41" s="65" t="n"/>
    </row>
    <row r="43" ht="23.25" customHeight="1" s="42">
      <c r="B43" s="68" t="inlineStr">
        <is>
          <t>NET INCOME (ANNUAL)</t>
        </is>
      </c>
      <c r="C43" s="69">
        <f>C24-C41</f>
        <v/>
      </c>
      <c r="E43" s="58" t="inlineStr">
        <is>
          <t>This is the number that matters. Must be positive and defensible.</t>
        </is>
      </c>
    </row>
  </sheetData>
  <mergeCells count="5">
    <mergeCell ref="A4:E4"/>
    <mergeCell ref="A20:E20"/>
    <mergeCell ref="A26:E26"/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C49A2A"/>
    <outlinePr summaryBelow="1" summaryRight="1"/>
    <pageSetUpPr fitToPage="0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1" min="1" max="1"/>
    <col width="24" customWidth="1" style="41" min="2" max="2"/>
    <col width="16" customWidth="1" style="41" min="3" max="7"/>
  </cols>
  <sheetData>
    <row r="1" ht="15.75" customHeight="1" s="42">
      <c r="A1" s="70" t="inlineStr">
        <is>
          <t>SENSITIVITY ANALYSIS — WHAT CARBON BLACK PRICING DOES TO THE DEAL</t>
        </is>
      </c>
      <c r="B1" s="44" t="n"/>
      <c r="C1" s="44" t="n"/>
      <c r="D1" s="44" t="n"/>
      <c r="E1" s="44" t="n"/>
      <c r="F1" s="44" t="n"/>
      <c r="G1" s="44" t="n"/>
    </row>
    <row r="2" ht="15" customHeight="1" s="42">
      <c r="A2" s="71" t="inlineStr">
        <is>
          <t>Carbon black pricing is the single largest variable. This table shows what happens at each price point.</t>
        </is>
      </c>
      <c r="B2" s="44" t="n"/>
      <c r="C2" s="44" t="n"/>
      <c r="D2" s="44" t="n"/>
      <c r="E2" s="44" t="n"/>
      <c r="F2" s="44" t="n"/>
      <c r="G2" s="44" t="n"/>
    </row>
    <row r="4" ht="26.25" customHeight="1" s="42">
      <c r="A4" s="48" t="n"/>
      <c r="B4" s="48" t="inlineStr">
        <is>
          <t>Carbon Black $/MT</t>
        </is>
      </c>
      <c r="C4" s="48" t="inlineStr">
        <is>
          <t>CB Revenue</t>
        </is>
      </c>
      <c r="D4" s="48" t="inlineStr">
        <is>
          <t>Total Revenue</t>
        </is>
      </c>
      <c r="E4" s="48" t="inlineStr">
        <is>
          <t>Total Expenses*</t>
        </is>
      </c>
      <c r="F4" s="48" t="inlineStr">
        <is>
          <t>Net Income</t>
        </is>
      </c>
      <c r="G4" s="48" t="inlineStr">
        <is>
          <t>Investor Viable?</t>
        </is>
      </c>
    </row>
    <row r="5" ht="15" customHeight="1" s="42">
      <c r="B5" s="55" t="n">
        <v>500</v>
      </c>
      <c r="C5" s="62" t="n">
        <v>6750000</v>
      </c>
      <c r="D5" s="62" t="n">
        <v>13500000</v>
      </c>
      <c r="E5" s="62" t="n">
        <v>11500000</v>
      </c>
      <c r="F5" s="72" t="n">
        <v>2000000</v>
      </c>
      <c r="G5" s="58" t="inlineStr">
        <is>
          <t>YES</t>
        </is>
      </c>
    </row>
    <row r="6" ht="15" customHeight="1" s="42">
      <c r="B6" s="55" t="n">
        <v>600</v>
      </c>
      <c r="C6" s="62" t="n">
        <v>8100000</v>
      </c>
      <c r="D6" s="62" t="n">
        <v>14850000</v>
      </c>
      <c r="E6" s="62" t="n">
        <v>11500000</v>
      </c>
      <c r="F6" s="72" t="n">
        <v>3350000</v>
      </c>
      <c r="G6" s="58" t="inlineStr">
        <is>
          <t>YES</t>
        </is>
      </c>
    </row>
    <row r="7" ht="15" customHeight="1" s="42">
      <c r="B7" s="55" t="n">
        <v>700</v>
      </c>
      <c r="C7" s="62" t="n">
        <v>9450000</v>
      </c>
      <c r="D7" s="62" t="n">
        <v>16200000</v>
      </c>
      <c r="E7" s="62" t="n">
        <v>11500000</v>
      </c>
      <c r="F7" s="72" t="n">
        <v>4700000</v>
      </c>
      <c r="G7" s="58" t="inlineStr">
        <is>
          <t>YES</t>
        </is>
      </c>
    </row>
    <row r="8" ht="15" customHeight="1" s="42">
      <c r="A8" s="73" t="n"/>
      <c r="B8" s="74" t="inlineStr">
        <is>
          <t>750 ← DECK</t>
        </is>
      </c>
      <c r="C8" s="75" t="n">
        <v>10125000</v>
      </c>
      <c r="D8" s="75" t="n">
        <v>16875000</v>
      </c>
      <c r="E8" s="75" t="n">
        <v>11500000</v>
      </c>
      <c r="F8" s="76" t="n">
        <v>5375000</v>
      </c>
      <c r="G8" s="77" t="inlineStr">
        <is>
          <t>YES</t>
        </is>
      </c>
    </row>
    <row r="9" ht="15" customHeight="1" s="42">
      <c r="B9" s="55" t="n">
        <v>850</v>
      </c>
      <c r="C9" s="62" t="n">
        <v>11475000</v>
      </c>
      <c r="D9" s="62" t="n">
        <v>18225000</v>
      </c>
      <c r="E9" s="62" t="n">
        <v>11500000</v>
      </c>
      <c r="F9" s="72" t="n">
        <v>6725000</v>
      </c>
      <c r="G9" s="58" t="inlineStr">
        <is>
          <t>YES</t>
        </is>
      </c>
    </row>
    <row r="10" ht="15" customHeight="1" s="42">
      <c r="B10" s="55" t="n">
        <v>1000</v>
      </c>
      <c r="C10" s="62" t="n">
        <v>13500000</v>
      </c>
      <c r="D10" s="62" t="n">
        <v>20250000</v>
      </c>
      <c r="E10" s="62" t="n">
        <v>11500000</v>
      </c>
      <c r="F10" s="72" t="n">
        <v>8750000</v>
      </c>
      <c r="G10" s="58" t="inlineStr">
        <is>
          <t>YES</t>
        </is>
      </c>
    </row>
    <row r="11" ht="15" customHeight="1" s="42">
      <c r="B11" s="55" t="n">
        <v>1100</v>
      </c>
      <c r="C11" s="62" t="n">
        <v>14850000</v>
      </c>
      <c r="D11" s="62" t="n">
        <v>21600000</v>
      </c>
      <c r="E11" s="62" t="n">
        <v>11500000</v>
      </c>
      <c r="F11" s="72" t="n">
        <v>10100000</v>
      </c>
      <c r="G11" s="58" t="inlineStr">
        <is>
          <t>YES</t>
        </is>
      </c>
    </row>
    <row r="12" ht="15" customHeight="1" s="42">
      <c r="B12" s="55" t="inlineStr">
        <is>
          <t>1,282 ← AGREEMENT</t>
        </is>
      </c>
      <c r="C12" s="62" t="n">
        <v>17307000</v>
      </c>
      <c r="D12" s="62" t="n">
        <v>24057000</v>
      </c>
      <c r="E12" s="62" t="n">
        <v>11500000</v>
      </c>
      <c r="F12" s="72" t="n">
        <v>12557000</v>
      </c>
      <c r="G12" s="58" t="inlineStr">
        <is>
          <t>YES</t>
        </is>
      </c>
    </row>
    <row r="15" ht="42.75" customHeight="1" s="42">
      <c r="B15" s="53" t="inlineStr">
        <is>
          <t>* Expenses estimated at ~$11.5M (operating + $3.5M investor return). Actual will vary with reconciled model.</t>
        </is>
      </c>
    </row>
    <row r="16" ht="45.75" customHeight="1" s="42">
      <c r="B16" s="78" t="inlineStr">
        <is>
          <t>At $750/MT (deck), annual net income is ~$5.4M. At $1,282/MT (agreement), it is ~$12.5M.</t>
        </is>
      </c>
    </row>
    <row r="17" ht="57" customHeight="1" s="42">
      <c r="B17" s="67" t="inlineStr">
        <is>
          <t>The contracted carbon black price determines whether this is a good deal or a great deal. Get the actual contract.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C0000"/>
    <outlinePr summaryBelow="1" summaryRight="1"/>
    <pageSetUpPr fitToPage="0"/>
  </sheetPr>
  <dimension ref="A1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1" min="1" max="1"/>
    <col width="32" customWidth="1" style="41" min="2" max="2"/>
    <col width="18" customWidth="1" style="41" min="3" max="4"/>
    <col width="14" customWidth="1" style="41" min="5" max="5"/>
    <col width="36" customWidth="1" style="41" min="6" max="6"/>
  </cols>
  <sheetData>
    <row r="1" ht="15.75" customHeight="1" s="42">
      <c r="A1" s="70" t="inlineStr">
        <is>
          <t>DISCREPANCY LOG — EVERY CONFLICT BETWEEN THE THREE SOURCES</t>
        </is>
      </c>
      <c r="B1" s="44" t="n"/>
      <c r="C1" s="44" t="n"/>
      <c r="D1" s="44" t="n"/>
      <c r="E1" s="44" t="n"/>
      <c r="F1" s="44" t="n"/>
    </row>
    <row r="3" ht="26.25" customHeight="1" s="42">
      <c r="A3" s="48" t="inlineStr">
        <is>
          <t>#</t>
        </is>
      </c>
      <c r="B3" s="48" t="inlineStr">
        <is>
          <t>Discrepancy</t>
        </is>
      </c>
      <c r="C3" s="48" t="inlineStr">
        <is>
          <t>Source 1 (Deck)</t>
        </is>
      </c>
      <c r="D3" s="48" t="inlineStr">
        <is>
          <t>Source 2 (Agreement)</t>
        </is>
      </c>
      <c r="E3" s="48" t="inlineStr">
        <is>
          <t>Severity</t>
        </is>
      </c>
      <c r="F3" s="48" t="inlineStr">
        <is>
          <t>Action to Resolve</t>
        </is>
      </c>
    </row>
    <row r="4" ht="48" customHeight="1" s="42">
      <c r="A4" s="51" t="n">
        <v>1</v>
      </c>
      <c r="B4" s="79" t="inlineStr">
        <is>
          <t>Carbon black pricing</t>
        </is>
      </c>
      <c r="C4" s="80" t="inlineStr">
        <is>
          <t>$750/MT</t>
        </is>
      </c>
      <c r="D4" s="80" t="inlineStr">
        <is>
          <t>~$1,282/MT</t>
        </is>
      </c>
      <c r="E4" s="57" t="inlineStr">
        <is>
          <t>CRITICAL</t>
        </is>
      </c>
      <c r="F4" s="81" t="inlineStr">
        <is>
          <t>Get the actual contracted price. This single number swings revenue by $7.2M/year.</t>
        </is>
      </c>
    </row>
    <row r="5" ht="48" customHeight="1" s="42">
      <c r="A5" s="51" t="n">
        <v>2</v>
      </c>
      <c r="B5" s="82" t="inlineStr">
        <is>
          <t>Oil pricing</t>
        </is>
      </c>
      <c r="C5" s="73" t="inlineStr">
        <is>
          <t>$500/MT</t>
        </is>
      </c>
      <c r="D5" s="73" t="inlineStr">
        <is>
          <t>~$551/MT</t>
        </is>
      </c>
      <c r="E5" s="56" t="inlineStr">
        <is>
          <t>HIGH</t>
        </is>
      </c>
      <c r="F5" s="83" t="inlineStr">
        <is>
          <t>Smaller gap but still $689K/year. Verify contracted off-take price.</t>
        </is>
      </c>
    </row>
    <row r="6" ht="48" customHeight="1" s="42">
      <c r="A6" s="51" t="n">
        <v>3</v>
      </c>
      <c r="B6" s="79" t="inlineStr">
        <is>
          <t>Total annual revenue</t>
        </is>
      </c>
      <c r="C6" s="80" t="inlineStr">
        <is>
          <t>$16,875,000</t>
        </is>
      </c>
      <c r="D6" s="80" t="inlineStr">
        <is>
          <t>$24,740,159</t>
        </is>
      </c>
      <c r="E6" s="57" t="inlineStr">
        <is>
          <t>CRITICAL</t>
        </is>
      </c>
      <c r="F6" s="81" t="inlineStr">
        <is>
          <t>$7.87M gap. Cannot circulate investor materials until resolved.</t>
        </is>
      </c>
    </row>
    <row r="7" ht="48" customHeight="1" s="42">
      <c r="A7" s="51" t="n">
        <v>4</v>
      </c>
      <c r="B7" s="79" t="inlineStr">
        <is>
          <t>Feedstock cost</t>
        </is>
      </c>
      <c r="C7" s="80" t="inlineStr">
        <is>
          <t>$200/ton (cost)</t>
        </is>
      </c>
      <c r="D7" s="80" t="inlineStr">
        <is>
          <t>$25/ton (tipping fee)</t>
        </is>
      </c>
      <c r="E7" s="57" t="inlineStr">
        <is>
          <t>CRITICAL</t>
        </is>
      </c>
      <c r="F7" s="81" t="inlineStr">
        <is>
          <t>May measure different things. $200 = landed cost? $25 = gate fee income? Clarify with Robert.</t>
        </is>
      </c>
    </row>
    <row r="8" ht="48" customHeight="1" s="42">
      <c r="A8" s="51" t="n">
        <v>5</v>
      </c>
      <c r="B8" s="79" t="inlineStr">
        <is>
          <t>Investor return (annual)</t>
        </is>
      </c>
      <c r="C8" s="80" t="inlineStr">
        <is>
          <t>$3,500,000</t>
        </is>
      </c>
      <c r="D8" s="80" t="inlineStr">
        <is>
          <t>$5,000,000</t>
        </is>
      </c>
      <c r="E8" s="57" t="inlineStr">
        <is>
          <t>CRITICAL</t>
        </is>
      </c>
      <c r="F8" s="81" t="inlineStr">
        <is>
          <t>Two completely different deals. Pick one. Securities counsel must review whichever is chosen.</t>
        </is>
      </c>
    </row>
    <row r="9" ht="48" customHeight="1" s="42">
      <c r="A9" s="51" t="n">
        <v>6</v>
      </c>
      <c r="B9" s="79" t="inlineStr">
        <is>
          <t>Investor return (total)</t>
        </is>
      </c>
      <c r="C9" s="80" t="inlineStr">
        <is>
          <t>$14,000,000 (4 yrs)</t>
        </is>
      </c>
      <c r="D9" s="80" t="inlineStr">
        <is>
          <t>$40,000,000 (5 yrs + balloon)</t>
        </is>
      </c>
      <c r="E9" s="57" t="inlineStr">
        <is>
          <t>CRITICAL</t>
        </is>
      </c>
      <c r="F9" s="81" t="inlineStr">
        <is>
          <t>$26M gap. These cannot both be correct.</t>
        </is>
      </c>
    </row>
    <row r="10" ht="48" customHeight="1" s="42">
      <c r="A10" s="51" t="n">
        <v>7</v>
      </c>
      <c r="B10" s="79" t="inlineStr">
        <is>
          <t>Deck internal: return</t>
        </is>
      </c>
      <c r="C10" s="80" t="inlineStr">
        <is>
          <t>$3.5M (structure section)</t>
        </is>
      </c>
      <c r="D10" s="80" t="inlineStr">
        <is>
          <t>$5M (expense table)</t>
        </is>
      </c>
      <c r="E10" s="57" t="inlineStr">
        <is>
          <t>CRITICAL</t>
        </is>
      </c>
      <c r="F10" s="81" t="inlineStr">
        <is>
          <t>The deck contradicts itself. Investment Structure says $3.5M/yr. Expense table says $5M/yr.</t>
        </is>
      </c>
    </row>
    <row r="11" ht="48" customHeight="1" s="42">
      <c r="A11" s="51" t="n">
        <v>8</v>
      </c>
      <c r="B11" s="79" t="inlineStr">
        <is>
          <t>Revenue distribution</t>
        </is>
      </c>
      <c r="C11" s="80" t="inlineStr">
        <is>
          <t>Not stated</t>
        </is>
      </c>
      <c r="D11" s="80" t="inlineStr">
        <is>
          <t>54.5% allocated</t>
        </is>
      </c>
      <c r="E11" s="57" t="inlineStr">
        <is>
          <t>CRITICAL</t>
        </is>
      </c>
      <c r="F11" s="81" t="inlineStr">
        <is>
          <t>45.5% of revenue undefined in the agreement. Must be allocated before investor docs circulate.</t>
        </is>
      </c>
    </row>
    <row r="12" ht="48" customHeight="1" s="42">
      <c r="A12" s="51" t="n">
        <v>9</v>
      </c>
      <c r="B12" s="82" t="inlineStr">
        <is>
          <t>Development cost</t>
        </is>
      </c>
      <c r="C12" s="73" t="inlineStr">
        <is>
          <t>$12,203,200</t>
        </is>
      </c>
      <c r="D12" s="73" t="inlineStr">
        <is>
          <t>Not stated (McCall: $15M)</t>
        </is>
      </c>
      <c r="E12" s="56" t="inlineStr">
        <is>
          <t>HIGH</t>
        </is>
      </c>
      <c r="F12" s="83" t="inlineStr">
        <is>
          <t>$2.8M gap between deck and McCall verbal. Second process + contingency.</t>
        </is>
      </c>
    </row>
    <row r="13" ht="48" customHeight="1" s="42">
      <c r="A13" s="51" t="n">
        <v>10</v>
      </c>
      <c r="B13" s="82" t="inlineStr">
        <is>
          <t>Tax basis</t>
        </is>
      </c>
      <c r="C13" s="73" t="inlineStr">
        <is>
          <t>6% on gross revenue</t>
        </is>
      </c>
      <c r="D13" s="73" t="inlineStr">
        <is>
          <t>Not stated</t>
        </is>
      </c>
      <c r="E13" s="56" t="inlineStr">
        <is>
          <t>HIGH</t>
        </is>
      </c>
      <c r="F13" s="83" t="inlineStr">
        <is>
          <t>Should be on net income. Overstates tax by ~$1.6M/year at deck revenue levels.</t>
        </is>
      </c>
    </row>
    <row r="14" ht="48" customHeight="1" s="42">
      <c r="A14" s="51" t="n">
        <v>11</v>
      </c>
      <c r="B14" s="49" t="inlineStr">
        <is>
          <t>Feedstock quantity</t>
        </is>
      </c>
      <c r="C14" s="51" t="inlineStr">
        <is>
          <t>62 TPD (expenses)</t>
        </is>
      </c>
      <c r="D14" s="51" t="inlineStr">
        <is>
          <t>100 TPD (capacity)</t>
        </is>
      </c>
      <c r="E14" s="54" t="inlineStr">
        <is>
          <t>MEDIUM</t>
        </is>
      </c>
      <c r="F14" s="53" t="inlineStr">
        <is>
          <t>Deck shows 62 in expense but 100 in capacity. What is the actual input rate?</t>
        </is>
      </c>
    </row>
    <row r="15" ht="48" customHeight="1" s="42">
      <c r="A15" s="51" t="n">
        <v>12</v>
      </c>
      <c r="B15" s="49" t="inlineStr">
        <is>
          <t>Legal + accounting</t>
        </is>
      </c>
      <c r="C15" s="51" t="inlineStr">
        <is>
          <t>$1,249,992/year</t>
        </is>
      </c>
      <c r="D15" s="51" t="inlineStr">
        <is>
          <t>Not stated</t>
        </is>
      </c>
      <c r="E15" s="54" t="inlineStr">
        <is>
          <t>MEDIUM</t>
        </is>
      </c>
      <c r="F15" s="53" t="inlineStr">
        <is>
          <t>7.4% of gross. Should break out PublicLogic scope. Confirm remainder is realistic.</t>
        </is>
      </c>
    </row>
    <row r="16" ht="48" customHeight="1" s="42">
      <c r="A16" s="51" t="n">
        <v>13</v>
      </c>
      <c r="B16" s="79" t="inlineStr">
        <is>
          <t>Securities documentation</t>
        </is>
      </c>
      <c r="C16" s="80" t="inlineStr">
        <is>
          <t>None</t>
        </is>
      </c>
      <c r="D16" s="80" t="inlineStr">
        <is>
          <t>None</t>
        </is>
      </c>
      <c r="E16" s="57" t="inlineStr">
        <is>
          <t>CRITICAL</t>
        </is>
      </c>
      <c r="F16" s="81" t="inlineStr">
        <is>
          <t>Both structures are likely securities offerings. No Reg D, PPM, or subscription documents exist.</t>
        </is>
      </c>
    </row>
    <row r="19" ht="45.75" customHeight="1" s="42">
      <c r="B19" s="67" t="inlineStr">
        <is>
          <t>8 CRITICAL discrepancies. 3 HIGH. 2 MEDIUM. Zero of these are acceptable in investor-facing materials.</t>
        </is>
      </c>
    </row>
    <row r="20" ht="45.75" customHeight="1" s="42">
      <c r="B20" s="78" t="inlineStr">
        <is>
          <t>PublicLogic recommendation: Resolve all CRITICAL items before the next document goes to Brien Walton or any institutional investor.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8" customWidth="1" style="42" min="1" max="1"/>
    <col width="22" customWidth="1" style="42" min="2" max="2"/>
    <col width="22" customWidth="1" style="42" min="3" max="3"/>
    <col width="32" customWidth="1" style="42" min="4" max="4"/>
    <col width="14" customWidth="1" style="42" min="5" max="5"/>
  </cols>
  <sheetData>
    <row r="1">
      <c r="A1" s="84" t="inlineStr">
        <is>
          <t>WASTEWERX MODEL 3 — CONFIRMED COST STRUCTURE</t>
        </is>
      </c>
    </row>
    <row r="2">
      <c r="A2" s="85" t="inlineStr">
        <is>
          <t>Source: Executed License Pro Forma &amp; Feedstock Yield Model · May 2026 · Mutual NDA executed May 18, 2026</t>
        </is>
      </c>
    </row>
    <row r="4">
      <c r="A4" s="86" t="inlineStr">
        <is>
          <t>Component</t>
        </is>
      </c>
      <c r="B4" s="86" t="inlineStr">
        <is>
          <t>Type</t>
        </is>
      </c>
      <c r="C4" s="86" t="inlineStr">
        <is>
          <t>Amount</t>
        </is>
      </c>
      <c r="D4" s="86" t="inlineStr">
        <is>
          <t>Timing</t>
        </is>
      </c>
      <c r="E4" s="86" t="inlineStr">
        <is>
          <t>Status</t>
        </is>
      </c>
    </row>
    <row r="5">
      <c r="A5" s="87" t="inlineStr">
        <is>
          <t>Design Fee</t>
        </is>
      </c>
      <c r="B5" s="87" t="inlineStr">
        <is>
          <t>One-time</t>
        </is>
      </c>
      <c r="C5" s="87" t="inlineStr">
        <is>
          <t>$50,000</t>
        </is>
      </c>
      <c r="D5" s="87" t="inlineStr">
        <is>
          <t>On signing Design Agreement</t>
        </is>
      </c>
      <c r="E5" s="87" t="inlineStr">
        <is>
          <t>CONFIRMED</t>
        </is>
      </c>
    </row>
    <row r="6">
      <c r="A6" s="87" t="inlineStr">
        <is>
          <t>License Fee — Phase 1 Deposit (50%)</t>
        </is>
      </c>
      <c r="B6" s="87" t="inlineStr">
        <is>
          <t>One-time</t>
        </is>
      </c>
      <c r="C6" s="87" t="inlineStr">
        <is>
          <t>$2,700,000</t>
        </is>
      </c>
      <c r="D6" s="87" t="inlineStr">
        <is>
          <t>Design approval + License Agreement execution</t>
        </is>
      </c>
      <c r="E6" s="87" t="inlineStr">
        <is>
          <t>CONFIRMED</t>
        </is>
      </c>
    </row>
    <row r="7">
      <c r="A7" s="87" t="inlineStr">
        <is>
          <t>License Fee — Build Progress (25%)</t>
        </is>
      </c>
      <c r="B7" s="87" t="inlineStr">
        <is>
          <t>One-time</t>
        </is>
      </c>
      <c r="C7" s="87" t="inlineStr">
        <is>
          <t>$1,375,000</t>
        </is>
      </c>
      <c r="D7" s="87" t="inlineStr">
        <is>
          <t>60 days from design start</t>
        </is>
      </c>
      <c r="E7" s="87" t="inlineStr">
        <is>
          <t>CONFIRMED</t>
        </is>
      </c>
    </row>
    <row r="8">
      <c r="A8" s="87" t="inlineStr">
        <is>
          <t>License Fee — Build Complete (15%)</t>
        </is>
      </c>
      <c r="B8" s="87" t="inlineStr">
        <is>
          <t>One-time</t>
        </is>
      </c>
      <c r="C8" s="87" t="inlineStr">
        <is>
          <t>$825,000</t>
        </is>
      </c>
      <c r="D8" s="87" t="inlineStr">
        <is>
          <t>Upon build completion</t>
        </is>
      </c>
      <c r="E8" s="87" t="inlineStr">
        <is>
          <t>CONFIRMED</t>
        </is>
      </c>
    </row>
    <row r="9">
      <c r="A9" s="87" t="inlineStr">
        <is>
          <t>License Fee — Delivery &amp; Handoff (10%)</t>
        </is>
      </c>
      <c r="B9" s="87" t="inlineStr">
        <is>
          <t>One-time</t>
        </is>
      </c>
      <c r="C9" s="87" t="inlineStr">
        <is>
          <t>$550,000</t>
        </is>
      </c>
      <c r="D9" s="87" t="inlineStr">
        <is>
          <t>On-site delivery</t>
        </is>
      </c>
      <c r="E9" s="87" t="inlineStr">
        <is>
          <t>CONFIRMED</t>
        </is>
      </c>
    </row>
    <row r="10">
      <c r="A10" s="88" t="inlineStr">
        <is>
          <t>TOTAL LICENSE FEE</t>
        </is>
      </c>
      <c r="B10" s="88" t="inlineStr">
        <is>
          <t>TOTAL</t>
        </is>
      </c>
      <c r="C10" s="88" t="inlineStr">
        <is>
          <t>$5,500,000</t>
        </is>
      </c>
      <c r="D10" s="88" t="inlineStr">
        <is>
          <t>Net of $50K design credit</t>
        </is>
      </c>
      <c r="E10" s="88" t="inlineStr">
        <is>
          <t>CONFIRMED</t>
        </is>
      </c>
    </row>
    <row r="11">
      <c r="A11" s="87" t="inlineStr">
        <is>
          <t>Monthly Monitoring Fee</t>
        </is>
      </c>
      <c r="B11" s="87" t="inlineStr">
        <is>
          <t>Ongoing</t>
        </is>
      </c>
      <c r="C11" s="87" t="inlineStr">
        <is>
          <t>$35,000/month</t>
        </is>
      </c>
      <c r="D11" s="87" t="inlineStr">
        <is>
          <t>Begins at commissioning; CPI-indexed</t>
        </is>
      </c>
      <c r="E11" s="87" t="inlineStr">
        <is>
          <t>CONFIRMED</t>
        </is>
      </c>
    </row>
    <row r="12">
      <c r="A12" s="87" t="inlineStr">
        <is>
          <t>Production Royalty</t>
        </is>
      </c>
      <c r="B12" s="87" t="inlineStr">
        <is>
          <t>Ongoing</t>
        </is>
      </c>
      <c r="C12" s="87" t="inlineStr">
        <is>
          <t>$0.60/gallon</t>
        </is>
      </c>
      <c r="D12" s="87" t="inlineStr">
        <is>
          <t>Begins at production; IoT-metered</t>
        </is>
      </c>
      <c r="E12" s="87" t="inlineStr">
        <is>
          <t>CONFIRMED</t>
        </is>
      </c>
    </row>
    <row r="13">
      <c r="A13" s="87" t="inlineStr">
        <is>
          <t>Min. Annual Royalty (Year 2+)</t>
        </is>
      </c>
      <c r="B13" s="87" t="inlineStr">
        <is>
          <t>Ongoing</t>
        </is>
      </c>
      <c r="C13" s="87" t="inlineStr">
        <is>
          <t>80% of nameplate</t>
        </is>
      </c>
      <c r="D13" s="87" t="inlineStr">
        <is>
          <t>Greater of actual royalty or MAR</t>
        </is>
      </c>
      <c r="E13" s="87" t="inlineStr">
        <is>
          <t>CONFIRMED</t>
        </is>
      </c>
    </row>
    <row r="14">
      <c r="A14" s="87" t="inlineStr">
        <is>
          <t>Permitting (customer side)</t>
        </is>
      </c>
      <c r="B14" s="87" t="inlineStr">
        <is>
          <t>Customer capex</t>
        </is>
      </c>
      <c r="C14" s="87" t="inlineStr">
        <is>
          <t>$102,500</t>
        </is>
      </c>
      <c r="D14" s="87" t="inlineStr">
        <is>
          <t>Pre-commissioning</t>
        </is>
      </c>
      <c r="E14" s="87" t="inlineStr">
        <is>
          <t>CONFIRMED</t>
        </is>
      </c>
    </row>
    <row r="15">
      <c r="A15" s="87" t="inlineStr">
        <is>
          <t>Site prep + infrastructure</t>
        </is>
      </c>
      <c r="B15" s="87" t="inlineStr">
        <is>
          <t>Customer capex</t>
        </is>
      </c>
      <c r="C15" s="87" t="inlineStr">
        <is>
          <t>$220,000</t>
        </is>
      </c>
      <c r="D15" s="87" t="inlineStr">
        <is>
          <t>Pre-commissioning</t>
        </is>
      </c>
      <c r="E15" s="87" t="inlineStr">
        <is>
          <t>CONFIRMED</t>
        </is>
      </c>
    </row>
    <row r="16">
      <c r="A16" s="87" t="inlineStr">
        <is>
          <t>Utilities tie-ins</t>
        </is>
      </c>
      <c r="B16" s="87" t="inlineStr">
        <is>
          <t>Customer capex</t>
        </is>
      </c>
      <c r="C16" s="87" t="inlineStr">
        <is>
          <t>$75,000</t>
        </is>
      </c>
      <c r="D16" s="87" t="inlineStr">
        <is>
          <t>Pre-commissioning</t>
        </is>
      </c>
      <c r="E16" s="87" t="inlineStr">
        <is>
          <t>CONFIRMED</t>
        </is>
      </c>
    </row>
    <row r="17">
      <c r="A17" s="87" t="inlineStr">
        <is>
          <t>Working capital reserve</t>
        </is>
      </c>
      <c r="B17" s="87" t="inlineStr">
        <is>
          <t>Customer capex</t>
        </is>
      </c>
      <c r="C17" s="87" t="inlineStr">
        <is>
          <t>$555,000</t>
        </is>
      </c>
      <c r="D17" s="87" t="inlineStr">
        <is>
          <t>Year 1</t>
        </is>
      </c>
      <c r="E17" s="87" t="inlineStr">
        <is>
          <t>CONFIRMED</t>
        </is>
      </c>
    </row>
    <row r="18">
      <c r="A18" s="88" t="inlineStr">
        <is>
          <t>TOTAL CUSTOMER CAPEX</t>
        </is>
      </c>
      <c r="B18" s="88" t="inlineStr">
        <is>
          <t>TOTAL</t>
        </is>
      </c>
      <c r="C18" s="88" t="inlineStr">
        <is>
          <t>$952,500</t>
        </is>
      </c>
      <c r="D18" s="88" t="inlineStr">
        <is>
          <t>All customer-side Year 1</t>
        </is>
      </c>
      <c r="E18" s="88" t="inlineStr">
        <is>
          <t>CONFIRMED</t>
        </is>
      </c>
    </row>
    <row r="19">
      <c r="A19" s="88" t="inlineStr">
        <is>
          <t>TOTAL YEAR 1 CASH OUT</t>
        </is>
      </c>
      <c r="B19" s="88" t="inlineStr">
        <is>
          <t>TOTAL</t>
        </is>
      </c>
      <c r="C19" s="88" t="inlineStr">
        <is>
          <t>$7,622,828</t>
        </is>
      </c>
      <c r="D19" s="88" t="inlineStr">
        <is>
          <t>WasteWerx + customer side</t>
        </is>
      </c>
      <c r="E19" s="88" t="inlineStr">
        <is>
          <t>CONFIRMED</t>
        </is>
      </c>
    </row>
    <row r="21">
      <c r="A21" s="89" t="inlineStr">
        <is>
          <t>REVENUE &amp; RETURN — CONFIRMED</t>
        </is>
      </c>
    </row>
    <row r="22">
      <c r="A22" s="87" t="inlineStr">
        <is>
          <t>System throughput</t>
        </is>
      </c>
      <c r="B22" s="87" t="inlineStr">
        <is>
          <t>3 tons/hr</t>
        </is>
      </c>
      <c r="C22" s="87" t="inlineStr">
        <is>
          <t>72 tons/day (24-hr)</t>
        </is>
      </c>
      <c r="D22" s="87" t="inlineStr">
        <is>
          <t>CONFIRMED</t>
        </is>
      </c>
      <c r="E22" s="87" t="inlineStr"/>
    </row>
    <row r="23">
      <c r="A23" s="87" t="inlineStr">
        <is>
          <t>Annual output (85% util.)</t>
        </is>
      </c>
      <c r="B23" s="87" t="inlineStr">
        <is>
          <t>4,467,600 gal/yr</t>
        </is>
      </c>
      <c r="C23" s="87" t="inlineStr">
        <is>
          <t>Planning figure</t>
        </is>
      </c>
      <c r="D23" s="87" t="inlineStr">
        <is>
          <t>CONFIRMED</t>
        </is>
      </c>
      <c r="E23" s="87" t="inlineStr"/>
    </row>
    <row r="24">
      <c r="A24" s="87" t="inlineStr">
        <is>
          <t>Steady-state annual revenue</t>
        </is>
      </c>
      <c r="B24" s="87" t="inlineStr">
        <is>
          <t>$35,581,680</t>
        </is>
      </c>
      <c r="C24" s="87" t="inlineStr">
        <is>
          <t>Fuel + RIN + §45Z</t>
        </is>
      </c>
      <c r="D24" s="87" t="inlineStr">
        <is>
          <t>CONFIRMED</t>
        </is>
      </c>
      <c r="E24" s="87" t="inlineStr"/>
    </row>
    <row r="25">
      <c r="A25" s="87" t="inlineStr">
        <is>
          <t>Steady-state operating costs</t>
        </is>
      </c>
      <c r="B25" s="87" t="inlineStr">
        <is>
          <t>$5,381,149</t>
        </is>
      </c>
      <c r="C25" s="87" t="inlineStr">
        <is>
          <t>WasteWerx fees + ops</t>
        </is>
      </c>
      <c r="D25" s="87" t="inlineStr">
        <is>
          <t>CONFIRMED</t>
        </is>
      </c>
      <c r="E25" s="87" t="inlineStr"/>
    </row>
    <row r="26">
      <c r="A26" s="87" t="inlineStr">
        <is>
          <t>Steady-state EBITDA (Year 2+)</t>
        </is>
      </c>
      <c r="B26" s="87" t="inlineStr">
        <is>
          <t>$30,200,531</t>
        </is>
      </c>
      <c r="C26" s="87" t="inlineStr">
        <is>
          <t>Revenue minus all costs</t>
        </is>
      </c>
      <c r="D26" s="87" t="inlineStr">
        <is>
          <t>CONFIRMED</t>
        </is>
      </c>
      <c r="E26" s="87" t="inlineStr"/>
    </row>
    <row r="27">
      <c r="A27" s="87" t="inlineStr">
        <is>
          <t>Simple payback</t>
        </is>
      </c>
      <c r="B27" s="87" t="inlineStr">
        <is>
          <t>~3 months (0.25 yr)</t>
        </is>
      </c>
      <c r="C27" s="87" t="inlineStr">
        <is>
          <t>Year 1 investment ÷ EBITDA</t>
        </is>
      </c>
      <c r="D27" s="87" t="inlineStr">
        <is>
          <t>CONFIRMED</t>
        </is>
      </c>
      <c r="E27" s="87" t="inlineStr"/>
    </row>
    <row r="28">
      <c r="A28" s="87" t="inlineStr">
        <is>
          <t>License term</t>
        </is>
      </c>
      <c r="B28" s="87" t="inlineStr">
        <is>
          <t>20 years initial</t>
        </is>
      </c>
      <c r="C28" s="87" t="inlineStr">
        <is>
          <t>5-year auto-renewals</t>
        </is>
      </c>
      <c r="D28" s="87" t="inlineStr">
        <is>
          <t>CONFIRMED</t>
        </is>
      </c>
      <c r="E28" s="87" t="inlineStr"/>
    </row>
    <row r="30">
      <c r="A30" s="90" t="inlineStr">
        <is>
          <t>AUTHORITY / TRANSFER RISK FLAGS</t>
        </is>
      </c>
    </row>
    <row r="31">
      <c r="A31" s="91" t="inlineStr">
        <is>
          <t>License not sale</t>
        </is>
      </c>
      <c r="B31" s="91" t="inlineStr">
        <is>
          <t>Title stays with WasteWerx at all times</t>
        </is>
      </c>
      <c r="C31" s="91" t="inlineStr">
        <is>
          <t>Material investor disclosure required</t>
        </is>
      </c>
      <c r="D31" s="91" t="inlineStr">
        <is>
          <t>FLAG</t>
        </is>
      </c>
      <c r="E31" s="91" t="inlineStr"/>
    </row>
    <row r="32">
      <c r="A32" s="91" t="inlineStr">
        <is>
          <t>No transfer without consent</t>
        </is>
      </c>
      <c r="B32" s="91" t="inlineStr">
        <is>
          <t>License does not transfer on EM&amp;S dissolution/bankruptcy</t>
        </is>
      </c>
      <c r="C32" s="91" t="inlineStr">
        <is>
          <t>Must be addressed in SPV structure</t>
        </is>
      </c>
      <c r="D32" s="91" t="inlineStr">
        <is>
          <t>FLAG</t>
        </is>
      </c>
      <c r="E32" s="91" t="inlineStr"/>
    </row>
    <row r="33">
      <c r="A33" s="91" t="inlineStr">
        <is>
          <t>IoT-metered royalty</t>
        </is>
      </c>
      <c r="B33" s="91" t="inlineStr">
        <is>
          <t>WasteWerx controls production measurement</t>
        </is>
      </c>
      <c r="C33" s="91" t="inlineStr">
        <is>
          <t>Audit rights required in operating agreement</t>
        </is>
      </c>
      <c r="D33" s="91" t="inlineStr">
        <is>
          <t>FLAG</t>
        </is>
      </c>
      <c r="E33" s="91" t="inlineStr"/>
    </row>
    <row r="34">
      <c r="A34" s="91" t="inlineStr">
        <is>
          <t>Early termination</t>
        </is>
      </c>
      <c r="B34" s="91" t="inlineStr">
        <is>
          <t>After Year 3: current-year MAR + 50% next year MAR</t>
        </is>
      </c>
      <c r="C34" s="91" t="inlineStr">
        <is>
          <t>Factor into investor commitment terms</t>
        </is>
      </c>
      <c r="D34" s="91" t="inlineStr">
        <is>
          <t>FLAG</t>
        </is>
      </c>
      <c r="E34" s="91" t="inlineStr"/>
    </row>
    <row r="36">
      <c r="A36" s="92" t="inlineStr">
        <is>
          <t>⚠ CARBON BLACK REVENUE — NOT IN EXECUTED PRO FORMA</t>
        </is>
      </c>
    </row>
    <row r="37">
      <c r="A37" s="93" t="inlineStr">
        <is>
          <t>WasteWerx revenue = fuel + RIN + §45Z only ($35.5M). Carbon black is NOT a line item. Do not represent to investors until WasteWerx confirms commercial structure.</t>
        </is>
      </c>
    </row>
    <row r="38">
      <c r="A38" s="94" t="inlineStr"/>
    </row>
    <row r="39">
      <c r="A39" s="95" t="inlineStr">
        <is>
          <t>⚠ RFS REGISTRATION REQUIRED — NOT GUARANTEED</t>
        </is>
      </c>
    </row>
    <row r="40">
      <c r="A40" s="96" t="inlineStr">
        <is>
          <t>RIN + §45Z credits require EPA RFS pathway petition + third-party engineering review. Without registration, $13.4M+/yr of revenue does not exist. Add to Phase 1 workstream.</t>
        </is>
      </c>
    </row>
    <row r="41">
      <c r="A41" s="94" t="inlineStr"/>
    </row>
    <row r="42">
      <c r="A42" s="95" t="inlineStr">
        <is>
          <t>⚠ LICENSE FEE NOT DEPRECIABLE — TAX STRUCTURE IMPACT</t>
        </is>
      </c>
    </row>
    <row r="43">
      <c r="A43" s="96" t="inlineStr">
        <is>
          <t>Title does not transfer. License fee cannot be depreciated. Walton must be briefed before any DCF or investor return model is finalized.</t>
        </is>
      </c>
    </row>
    <row r="44">
      <c r="A44" s="94" t="inlineStr"/>
    </row>
    <row r="45">
      <c r="A45" s="97" t="inlineStr">
        <is>
          <t>⚠ MAR YEAR 1 = 70% (NOT 80%)</t>
        </is>
      </c>
    </row>
    <row r="46">
      <c r="A46" s="98" t="inlineStr">
        <is>
          <t>Year 1 MAR = 70% of nameplate royalty. Year 2+ MAR = 80%. Update all financial models.</t>
        </is>
      </c>
    </row>
  </sheetData>
  <mergeCells count="15">
    <mergeCell ref="A30:E30"/>
    <mergeCell ref="A21:E21"/>
    <mergeCell ref="A39:E39"/>
    <mergeCell ref="A43:E43"/>
    <mergeCell ref="A38:E38"/>
    <mergeCell ref="A2:E2"/>
    <mergeCell ref="A42:E42"/>
    <mergeCell ref="A41:E41"/>
    <mergeCell ref="A1:E1"/>
    <mergeCell ref="A37:E37"/>
    <mergeCell ref="A45:E45"/>
    <mergeCell ref="A36:E36"/>
    <mergeCell ref="A46:E46"/>
    <mergeCell ref="A44:E44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2026-05-15T23:18:00Z</dcterms:created>
  <dcterms:modified xmlns:dcterms="http://purl.org/dc/terms/" xmlns:xsi="http://www.w3.org/2001/XMLSchema-instance" xsi:type="dcterms:W3CDTF">2026-05-18T21:37:05Z</dcterms:modified>
  <cp:revision>0</cp:revision>
</cp:coreProperties>
</file>