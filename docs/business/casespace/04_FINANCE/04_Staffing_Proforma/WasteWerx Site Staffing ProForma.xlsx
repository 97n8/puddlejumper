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vinny_tizio_ii/Documents/1AAA!!!Wastewerx/Licensing and Project Info/"/>
    </mc:Choice>
  </mc:AlternateContent>
  <xr:revisionPtr revIDLastSave="0" documentId="8_{41773C03-7061-BA4B-A90E-0527336D4263}" xr6:coauthVersionLast="47" xr6:coauthVersionMax="47" xr10:uidLastSave="{00000000-0000-0000-0000-000000000000}"/>
  <bookViews>
    <workbookView xWindow="2280" yWindow="500" windowWidth="27640" windowHeight="14460" tabRatio="500" xr2:uid="{00000000-000D-0000-FFFF-FFFF00000000}"/>
  </bookViews>
  <sheets>
    <sheet name="Staffing Pro Form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7" i="1" l="1"/>
  <c r="E56" i="1"/>
  <c r="F56" i="1" s="1"/>
  <c r="G56" i="1" s="1"/>
  <c r="E55" i="1"/>
  <c r="F55" i="1" s="1"/>
  <c r="G55" i="1" s="1"/>
  <c r="E54" i="1"/>
  <c r="F54" i="1" s="1"/>
  <c r="G54" i="1" s="1"/>
  <c r="G57" i="1" s="1"/>
  <c r="C51" i="1"/>
  <c r="E50" i="1"/>
  <c r="F50" i="1" s="1"/>
  <c r="G50" i="1" s="1"/>
  <c r="E49" i="1"/>
  <c r="F49" i="1" s="1"/>
  <c r="G49" i="1" s="1"/>
  <c r="E48" i="1"/>
  <c r="F48" i="1" s="1"/>
  <c r="G48" i="1" s="1"/>
  <c r="G51" i="1" s="1"/>
  <c r="C45" i="1"/>
  <c r="E44" i="1"/>
  <c r="F44" i="1" s="1"/>
  <c r="G44" i="1" s="1"/>
  <c r="E43" i="1"/>
  <c r="F43" i="1" s="1"/>
  <c r="G43" i="1" s="1"/>
  <c r="E42" i="1"/>
  <c r="F42" i="1" s="1"/>
  <c r="G42" i="1" s="1"/>
  <c r="E41" i="1"/>
  <c r="F41" i="1" s="1"/>
  <c r="G41" i="1" s="1"/>
  <c r="G45" i="1" s="1"/>
  <c r="C38" i="1"/>
  <c r="E37" i="1"/>
  <c r="F37" i="1" s="1"/>
  <c r="G37" i="1" s="1"/>
  <c r="E36" i="1"/>
  <c r="F36" i="1" s="1"/>
  <c r="G36" i="1" s="1"/>
  <c r="G38" i="1" s="1"/>
  <c r="C33" i="1"/>
  <c r="E32" i="1"/>
  <c r="F32" i="1" s="1"/>
  <c r="G32" i="1" s="1"/>
  <c r="E31" i="1"/>
  <c r="F31" i="1" s="1"/>
  <c r="G31" i="1" s="1"/>
  <c r="E30" i="1"/>
  <c r="F30" i="1" s="1"/>
  <c r="G30" i="1" s="1"/>
  <c r="G33" i="1" s="1"/>
  <c r="C27" i="1"/>
  <c r="E26" i="1"/>
  <c r="F26" i="1" s="1"/>
  <c r="G26" i="1" s="1"/>
  <c r="E25" i="1"/>
  <c r="F25" i="1" s="1"/>
  <c r="G25" i="1" s="1"/>
  <c r="F24" i="1"/>
  <c r="G24" i="1" s="1"/>
  <c r="E24" i="1"/>
  <c r="F23" i="1"/>
  <c r="G23" i="1" s="1"/>
  <c r="E23" i="1"/>
  <c r="C20" i="1"/>
  <c r="F19" i="1"/>
  <c r="G19" i="1" s="1"/>
  <c r="E19" i="1"/>
  <c r="F18" i="1"/>
  <c r="G18" i="1" s="1"/>
  <c r="E18" i="1"/>
  <c r="E17" i="1"/>
  <c r="F17" i="1" s="1"/>
  <c r="G17" i="1" s="1"/>
  <c r="E16" i="1"/>
  <c r="F16" i="1" s="1"/>
  <c r="G16" i="1" s="1"/>
  <c r="C13" i="1"/>
  <c r="C59" i="1" s="1"/>
  <c r="F62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G13" i="1" s="1"/>
  <c r="G20" i="1" l="1"/>
  <c r="G59" i="1" s="1"/>
  <c r="G27" i="1"/>
  <c r="F66" i="1" l="1"/>
  <c r="F65" i="1"/>
  <c r="F64" i="1"/>
  <c r="F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00000000-0006-0000-0000-00001D000000}">
      <text>
        <r>
          <rPr>
            <sz val="10"/>
            <rFont val="Arial"/>
            <family val="2"/>
          </rPr>
          <t>Editable. Includes FICA, FUTA/SUTA, workers' comp (industrial), health/dental/vision, 401(k) match, life/AD&amp;D, training. Industrial process facilities typically 28-35%.</t>
        </r>
      </text>
    </comment>
    <comment ref="A8" authorId="0" shapeId="0" xr:uid="{00000000-0006-0000-0000-000001000000}">
      <text>
        <r>
          <rPr>
            <sz val="10"/>
            <rFont val="Arial"/>
            <family val="2"/>
          </rPr>
          <t>Site P&amp;L, operations, stakeholder mgmt</t>
        </r>
      </text>
    </comment>
    <comment ref="A9" authorId="0" shapeId="0" xr:uid="{00000000-0006-0000-0000-000002000000}">
      <text>
        <r>
          <rPr>
            <sz val="10"/>
            <rFont val="Arial"/>
            <family val="2"/>
          </rPr>
          <t>Oversees all shift operations</t>
        </r>
      </text>
    </comment>
    <comment ref="A10" authorId="0" shapeId="0" xr:uid="{00000000-0006-0000-0000-000003000000}">
      <text>
        <r>
          <rPr>
            <sz val="10"/>
            <rFont val="Arial"/>
            <family val="2"/>
          </rPr>
          <t>Reliability, CMMS, contractor mgmt</t>
        </r>
      </text>
    </comment>
    <comment ref="A11" authorId="0" shapeId="0" xr:uid="{00000000-0006-0000-0000-000004000000}">
      <text>
        <r>
          <rPr>
            <sz val="10"/>
            <rFont val="Arial"/>
            <family val="2"/>
          </rPr>
          <t>Health, Safety, Environmental compliance</t>
        </r>
      </text>
    </comment>
    <comment ref="A12" authorId="0" shapeId="0" xr:uid="{00000000-0006-0000-0000-000005000000}">
      <text>
        <r>
          <rPr>
            <sz val="10"/>
            <rFont val="Arial"/>
            <family val="2"/>
          </rPr>
          <t>Procurement, AP/AR support, HR liaison</t>
        </r>
      </text>
    </comment>
    <comment ref="A16" authorId="0" shapeId="0" xr:uid="{00000000-0006-0000-0000-000006000000}">
      <text>
        <r>
          <rPr>
            <sz val="10"/>
            <rFont val="Arial"/>
            <family val="2"/>
          </rPr>
          <t>Scheduling inbound loads, supplier mgmt</t>
        </r>
      </text>
    </comment>
    <comment ref="A17" authorId="0" shapeId="0" xr:uid="{00000000-0006-0000-0000-000007000000}">
      <text>
        <r>
          <rPr>
            <sz val="10"/>
            <rFont val="Arial"/>
            <family val="2"/>
          </rPr>
          <t>Weigh-in, inspection, staging</t>
        </r>
      </text>
    </comment>
    <comment ref="A18" authorId="0" shapeId="0" xr:uid="{00000000-0006-0000-0000-000008000000}">
      <text>
        <r>
          <rPr>
            <sz val="10"/>
            <rFont val="Arial"/>
            <family val="2"/>
          </rPr>
          <t>Sizing, drying, moisture mgmt — biomass critical</t>
        </r>
      </text>
    </comment>
    <comment ref="A19" authorId="0" shapeId="0" xr:uid="{00000000-0006-0000-0000-000009000000}">
      <text>
        <r>
          <rPr>
            <sz val="10"/>
            <rFont val="Arial"/>
            <family val="2"/>
          </rPr>
          <t>Yard movement, reactor feed staging</t>
        </r>
      </text>
    </comment>
    <comment ref="A23" authorId="0" shapeId="0" xr:uid="{00000000-0006-0000-0000-00000A000000}">
      <text>
        <r>
          <rPr>
            <sz val="10"/>
            <rFont val="Arial"/>
            <family val="2"/>
          </rPr>
          <t>Shift lead, safety authority</t>
        </r>
      </text>
    </comment>
    <comment ref="A24" authorId="0" shapeId="0" xr:uid="{00000000-0006-0000-0000-00000B000000}">
      <text>
        <r>
          <rPr>
            <sz val="10"/>
            <rFont val="Arial"/>
            <family val="2"/>
          </rPr>
          <t>DCS/SCADA monitoring, Modbus interface</t>
        </r>
      </text>
    </comment>
    <comment ref="A25" authorId="0" shapeId="0" xr:uid="{00000000-0006-0000-0000-00000C000000}">
      <text>
        <r>
          <rPr>
            <sz val="10"/>
            <rFont val="Arial"/>
            <family val="2"/>
          </rPr>
          <t>Pyrolysis reactor operation, troubleshooting</t>
        </r>
      </text>
    </comment>
    <comment ref="A26" authorId="0" shapeId="0" xr:uid="{00000000-0006-0000-0000-00000D000000}">
      <text>
        <r>
          <rPr>
            <sz val="10"/>
            <rFont val="Arial"/>
            <family val="2"/>
          </rPr>
          <t>Field rounds, gas handling, support</t>
        </r>
      </text>
    </comment>
    <comment ref="A30" authorId="0" shapeId="0" xr:uid="{00000000-0006-0000-0000-00000E000000}">
      <text>
        <r>
          <rPr>
            <sz val="10"/>
            <rFont val="Arial"/>
            <family val="2"/>
          </rPr>
          <t>Fractionation, SAF/RD cuts, blending</t>
        </r>
      </text>
    </comment>
    <comment ref="A31" authorId="0" shapeId="0" xr:uid="{00000000-0006-0000-0000-00000F000000}">
      <text>
        <r>
          <rPr>
            <sz val="10"/>
            <rFont val="Arial"/>
            <family val="2"/>
          </rPr>
          <t>Storage, custody transfer, sampling</t>
        </r>
      </text>
    </comment>
    <comment ref="A32" authorId="0" shapeId="0" xr:uid="{00000000-0006-0000-0000-000010000000}">
      <text>
        <r>
          <rPr>
            <sz val="10"/>
            <rFont val="Arial"/>
            <family val="2"/>
          </rPr>
          <t>Outbound fuel logistics, BOLs</t>
        </r>
      </text>
    </comment>
    <comment ref="A36" authorId="0" shapeId="0" xr:uid="{00000000-0006-0000-0000-000011000000}">
      <text>
        <r>
          <rPr>
            <sz val="10"/>
            <rFont val="Arial"/>
            <family val="2"/>
          </rPr>
          <t>Carbon black + biochar discharge, cooling, conveying</t>
        </r>
      </text>
    </comment>
    <comment ref="A37" authorId="0" shapeId="0" xr:uid="{00000000-0006-0000-0000-000012000000}">
      <text>
        <r>
          <rPr>
            <sz val="10"/>
            <rFont val="Arial"/>
            <family val="2"/>
          </rPr>
          <t>Super-sack, drum, palletizing</t>
        </r>
      </text>
    </comment>
    <comment ref="A41" authorId="0" shapeId="0" xr:uid="{00000000-0006-0000-0000-000013000000}">
      <text>
        <r>
          <rPr>
            <sz val="10"/>
            <rFont val="Arial"/>
            <family val="2"/>
          </rPr>
          <t>PM, repairs, fabrication support</t>
        </r>
      </text>
    </comment>
    <comment ref="A42" authorId="0" shapeId="0" xr:uid="{00000000-0006-0000-0000-000014000000}">
      <text>
        <r>
          <rPr>
            <sz val="10"/>
            <rFont val="Arial"/>
            <family val="2"/>
          </rPr>
          <t>Electrical PM, motor controls</t>
        </r>
      </text>
    </comment>
    <comment ref="A43" authorId="0" shapeId="0" xr:uid="{00000000-0006-0000-0000-000015000000}">
      <text>
        <r>
          <rPr>
            <sz val="10"/>
            <rFont val="Arial"/>
            <family val="2"/>
          </rPr>
          <t>Sensors, PLCs, SCADA, MRV data integrity</t>
        </r>
      </text>
    </comment>
    <comment ref="A44" authorId="0" shapeId="0" xr:uid="{00000000-0006-0000-0000-000016000000}">
      <text>
        <r>
          <rPr>
            <sz val="10"/>
            <rFont val="Arial"/>
            <family val="2"/>
          </rPr>
          <t>Root cause, CMMS, asset strategy</t>
        </r>
      </text>
    </comment>
    <comment ref="A48" authorId="0" shapeId="0" xr:uid="{00000000-0006-0000-0000-000017000000}">
      <text>
        <r>
          <rPr>
            <sz val="10"/>
            <rFont val="Arial"/>
            <family val="2"/>
          </rPr>
          <t>ASTM compliance, QA program owner</t>
        </r>
      </text>
    </comment>
    <comment ref="A49" authorId="0" shapeId="0" xr:uid="{00000000-0006-0000-0000-000018000000}">
      <text>
        <r>
          <rPr>
            <sz val="10"/>
            <rFont val="Arial"/>
            <family val="2"/>
          </rPr>
          <t>SAF/RD spec testing, sample chain-of-custody</t>
        </r>
      </text>
    </comment>
    <comment ref="A50" authorId="0" shapeId="0" xr:uid="{00000000-0006-0000-0000-000019000000}">
      <text>
        <r>
          <rPr>
            <sz val="10"/>
            <rFont val="Arial"/>
            <family val="2"/>
          </rPr>
          <t>Biochar / carbon black spec testing</t>
        </r>
      </text>
    </comment>
    <comment ref="A54" authorId="0" shapeId="0" xr:uid="{00000000-0006-0000-0000-00001A000000}">
      <text>
        <r>
          <rPr>
            <sz val="10"/>
            <rFont val="Arial"/>
            <family val="2"/>
          </rPr>
          <t>JSAs, audits, incident investigation</t>
        </r>
      </text>
    </comment>
    <comment ref="A55" authorId="0" shapeId="0" xr:uid="{00000000-0006-0000-0000-00001B000000}">
      <text>
        <r>
          <rPr>
            <sz val="10"/>
            <rFont val="Arial"/>
            <family val="2"/>
          </rPr>
          <t>Air permits, emissions, recordkeeping</t>
        </r>
      </text>
    </comment>
    <comment ref="A56" authorId="0" shapeId="0" xr:uid="{00000000-0006-0000-0000-00001C000000}">
      <text>
        <r>
          <rPr>
            <sz val="10"/>
            <rFont val="Arial"/>
            <family val="2"/>
          </rPr>
          <t>Modbus/SCADA → MRV pipeline, verification packs</t>
        </r>
      </text>
    </comment>
  </commentList>
</comments>
</file>

<file path=xl/sharedStrings.xml><?xml version="1.0" encoding="utf-8"?>
<sst xmlns="http://schemas.openxmlformats.org/spreadsheetml/2006/main" count="103" uniqueCount="83">
  <si>
    <t>WASTEWERX LLC — SINGLE SITE STAFFING PRO FORMA</t>
  </si>
  <si>
    <t>Model 3 (3 tons/hr) | Biomass / Wood Waste Feedstock | 24/7 Continuous Operation | Steady-State Headcount</t>
  </si>
  <si>
    <t>Burden Rate Assumption (benefits, taxes, workers' comp):</t>
  </si>
  <si>
    <t>← Edit this cell to flex all loaded costs</t>
  </si>
  <si>
    <t>Role / Position</t>
  </si>
  <si>
    <t>Shift Coverage</t>
  </si>
  <si>
    <t>Headcount (FTE)</t>
  </si>
  <si>
    <t>Annual Base Salary</t>
  </si>
  <si>
    <t>Burden %</t>
  </si>
  <si>
    <t>Loaded Cost / Person</t>
  </si>
  <si>
    <t>Total Loaded Cost</t>
  </si>
  <si>
    <t>PLANT LEADERSHIP</t>
  </si>
  <si>
    <t>Plant Manager</t>
  </si>
  <si>
    <t>Day (M-F + on-call)</t>
  </si>
  <si>
    <t>Operations Manager</t>
  </si>
  <si>
    <t>Maintenance Manager</t>
  </si>
  <si>
    <t>HSE Manager</t>
  </si>
  <si>
    <t>Office Manager / Admin Lead</t>
  </si>
  <si>
    <t>Day (M-F)</t>
  </si>
  <si>
    <t xml:space="preserve">  PLANT LEADERSHIP — Subtotal</t>
  </si>
  <si>
    <t>FEEDSTOCK OPERATIONS</t>
  </si>
  <si>
    <t>Feedstock &amp; Logistics Coordinator</t>
  </si>
  <si>
    <t>Yard / Receiving Operator</t>
  </si>
  <si>
    <t>Day + Swing + Night</t>
  </si>
  <si>
    <t>Feedstock Prep Technician</t>
  </si>
  <si>
    <t>24/7 (4 shifts)</t>
  </si>
  <si>
    <t>Forklift / Loader Operator</t>
  </si>
  <si>
    <t xml:space="preserve">  FEEDSTOCK OPERATIONS — Subtotal</t>
  </si>
  <si>
    <t>PLANT OPERATIONS (CORE PROCESS)</t>
  </si>
  <si>
    <t>Shift Supervisor</t>
  </si>
  <si>
    <t>Control Room / SCADA Operator</t>
  </si>
  <si>
    <t>Lead Reactor Operator</t>
  </si>
  <si>
    <t>Utility / Outside Operator</t>
  </si>
  <si>
    <t xml:space="preserve">  PLANT OPERATIONS (CORE PROCESS) — Subtotal</t>
  </si>
  <si>
    <t>FUEL PROCESSING &amp; LOGISTICS</t>
  </si>
  <si>
    <t>Distillation Operator</t>
  </si>
  <si>
    <t>Tank Farm Operator</t>
  </si>
  <si>
    <t>Day + Swing</t>
  </si>
  <si>
    <t>Truck Loading / Dispatch</t>
  </si>
  <si>
    <t>Day (extended)</t>
  </si>
  <si>
    <t xml:space="preserve">  FUEL PROCESSING &amp; LOGISTICS — Subtotal</t>
  </si>
  <si>
    <t>CARBON CO-PRODUCT PROCESSING</t>
  </si>
  <si>
    <t>Carbon Handling Operator</t>
  </si>
  <si>
    <t>Packaging / Bagging Operator</t>
  </si>
  <si>
    <t xml:space="preserve">  CARBON CO-PRODUCT PROCESSING — Subtotal</t>
  </si>
  <si>
    <t>MAINTENANCE &amp; RELIABILITY</t>
  </si>
  <si>
    <t>Mechanical Maintenance Technician</t>
  </si>
  <si>
    <t>Day + Swing + on-call</t>
  </si>
  <si>
    <t>Electrical Technician</t>
  </si>
  <si>
    <t>Day + on-call</t>
  </si>
  <si>
    <t>Instrumentation &amp; Controls Tech</t>
  </si>
  <si>
    <t>Reliability Engineer</t>
  </si>
  <si>
    <t xml:space="preserve">  MAINTENANCE &amp; RELIABILITY — Subtotal</t>
  </si>
  <si>
    <t>QUALITY / LABORATORY</t>
  </si>
  <si>
    <t>Lab Manager</t>
  </si>
  <si>
    <t>Fuel QC Lab Technician</t>
  </si>
  <si>
    <t>Carbon QC Lab Technician</t>
  </si>
  <si>
    <t xml:space="preserve">  QUALITY / LABORATORY — Subtotal</t>
  </si>
  <si>
    <t>HSE / COMPLIANCE / MRV</t>
  </si>
  <si>
    <t>Safety Officer</t>
  </si>
  <si>
    <t>Environmental Compliance Technician</t>
  </si>
  <si>
    <t>MRV / Carbon Credit Data Analyst</t>
  </si>
  <si>
    <t xml:space="preserve">  HSE / COMPLIANCE / MRV — Subtotal</t>
  </si>
  <si>
    <t>TOTAL SITE STAFFING</t>
  </si>
  <si>
    <t>SUMMARY METRICS</t>
  </si>
  <si>
    <t>Total Headcount (FTE)</t>
  </si>
  <si>
    <t>Total Annual Loaded Labor Cost</t>
  </si>
  <si>
    <t>Average Loaded Cost per FTE</t>
  </si>
  <si>
    <t>Monthly Labor Burn</t>
  </si>
  <si>
    <t>Weekly Labor Burn</t>
  </si>
  <si>
    <t>ASSUMPTIONS &amp; NOTES</t>
  </si>
  <si>
    <t>• Scope: One Model 3 unit (3 tph), single site, biomass/wood waste feedstock, 24/7 continuous operation.</t>
  </si>
  <si>
    <t>• Steady-state Year-2+ headcount. Year-1 ramp typically runs at 70–80% of this figure during commissioning and qualification.</t>
  </si>
  <si>
    <t>• Shift coverage: '24/7 (4 shifts)' positions assume 4 FTE per seat to cover 168 hrs/week with PTO, sick, and training relief (industry standard 4.2x).</t>
  </si>
  <si>
    <t>• Salaries reflect Florida industrial process labor market (Tampa/Lakeland/Sebring); adjust by ±5–10% for site-specific cost-of-living.</t>
  </si>
  <si>
    <t>• Burden rate (cell E4, yellow) includes FICA, FUTA/SUTA, workers' comp (industrial class), health/dental/vision, 401(k) match, life/AD&amp;D, training. Edit globally from one cell.</t>
  </si>
  <si>
    <t>• Biomass-specific staffing emphasis: dedicated 24/7 Feedstock Prep (sizing, drying, moisture management) — biomass moisture variability is the #1 process risk and warrants full-shift coverage.</t>
  </si>
  <si>
    <t>• Carbon co-product processing is staffed separately to handle both graphene-precursor-grade carbon black and biochar streams.</t>
  </si>
  <si>
    <t>• MRV / Carbon Credit Data Analyst is included from Day 1 — required to capture commissioning baseline data per Modbus/SCADA architecture for downstream carbon credit monetization.</t>
  </si>
  <si>
    <t>• Contracted services NOT included in this model: third-party security, janitorial, landscaping, contract maintenance overflow, certified third-party MRV verification, IT/MSP. Budget separately.</t>
  </si>
  <si>
    <t>• Overtime, shift differentials, and on-call premiums are assumed absorbed within the 30% burden rate. For &gt;15% sustained OT, increase burden to 33–35%.</t>
  </si>
  <si>
    <t>• Blue cells = editable inputs (headcount, base salary). Yellow cell = global burden rate input.</t>
  </si>
  <si>
    <t>Wastewerx LLC | 6160 Central Ave, Suite 300, St. Petersburg, FL | wwerx.com | Confidential — Prepared for Client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</si>
</sst>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;&quot;($&quot;#,##0\);\-"/>
    <numFmt numFmtId="166" formatCode="\$#,##0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i/>
      <sz val="10"/>
      <color rgb="FF0A0E1A"/>
      <name val="Arial"/>
      <family val="2"/>
    </font>
    <font>
      <b/>
      <sz val="11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1"/>
      <color rgb="FF0A0E1A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A0E1A"/>
      <name val="Arial"/>
      <family val="2"/>
    </font>
    <font>
      <b/>
      <sz val="12"/>
      <color rgb="FFFFFFFF"/>
      <name val="Arial"/>
      <family val="2"/>
    </font>
    <font>
      <sz val="10"/>
      <color rgb="FF26262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A0E1A"/>
        <bgColor rgb="FF000000"/>
      </patternFill>
    </fill>
    <fill>
      <patternFill patternType="solid">
        <fgColor rgb="FF1C75BC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A0E1A"/>
      </left>
      <right style="medium">
        <color rgb="FF0A0E1A"/>
      </right>
      <top style="medium">
        <color rgb="FF0A0E1A"/>
      </top>
      <bottom style="medium">
        <color rgb="FF0A0E1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 wrapText="1" indent="1"/>
    </xf>
    <xf numFmtId="166" fontId="8" fillId="6" borderId="1" xfId="0" applyNumberFormat="1" applyFont="1" applyFill="1" applyBorder="1" applyAlignment="1">
      <alignment horizontal="right" vertical="center"/>
    </xf>
    <xf numFmtId="1" fontId="8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4" fillId="0" borderId="0" xfId="0" applyFont="1" applyAlignment="1">
      <alignment horizontal="right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indent="1"/>
    </xf>
    <xf numFmtId="1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 indent="1"/>
    </xf>
    <xf numFmtId="1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left" vertical="center" indent="1"/>
    </xf>
    <xf numFmtId="1" fontId="12" fillId="2" borderId="3" xfId="0" applyNumberFormat="1" applyFont="1" applyFill="1" applyBorder="1" applyAlignment="1">
      <alignment horizontal="center" vertical="center"/>
    </xf>
    <xf numFmtId="165" fontId="12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1C75B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A0E1A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2"/>
  <sheetViews>
    <sheetView tabSelected="1" zoomScaleNormal="100" workbookViewId="0">
      <pane ySplit="6" topLeftCell="A7" activePane="bottomLeft" state="frozen"/>
      <selection pane="bottomLeft" activeCell="I4" sqref="I4"/>
    </sheetView>
  </sheetViews>
  <sheetFormatPr baseColWidth="10" defaultColWidth="8.6640625" defaultRowHeight="15" x14ac:dyDescent="0.2"/>
  <cols>
    <col min="1" max="1" width="38" customWidth="1"/>
    <col min="2" max="2" width="22" customWidth="1"/>
    <col min="3" max="3" width="12" customWidth="1"/>
    <col min="4" max="4" width="16" customWidth="1"/>
    <col min="5" max="5" width="12" customWidth="1"/>
    <col min="6" max="6" width="18" customWidth="1"/>
    <col min="7" max="7" width="20" customWidth="1"/>
  </cols>
  <sheetData>
    <row r="1" spans="1:7" ht="27.75" customHeight="1" x14ac:dyDescent="0.2">
      <c r="A1" s="10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9" t="s">
        <v>1</v>
      </c>
      <c r="B2" s="9"/>
      <c r="C2" s="9"/>
      <c r="D2" s="9"/>
      <c r="E2" s="9"/>
      <c r="F2" s="9"/>
      <c r="G2" s="9"/>
    </row>
    <row r="4" spans="1:7" x14ac:dyDescent="0.2">
      <c r="A4" s="8" t="s">
        <v>2</v>
      </c>
      <c r="B4" s="8"/>
      <c r="C4" s="8"/>
      <c r="D4" s="8"/>
      <c r="E4" s="11">
        <v>0.3</v>
      </c>
      <c r="F4" s="7" t="s">
        <v>3</v>
      </c>
      <c r="G4" s="7"/>
    </row>
    <row r="6" spans="1:7" ht="31.5" customHeight="1" x14ac:dyDescent="0.2">
      <c r="A6" s="12" t="s">
        <v>4</v>
      </c>
      <c r="B6" s="12" t="s">
        <v>5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</row>
    <row r="7" spans="1:7" ht="21.75" customHeight="1" x14ac:dyDescent="0.2">
      <c r="A7" s="6" t="s">
        <v>11</v>
      </c>
      <c r="B7" s="6"/>
      <c r="C7" s="6"/>
      <c r="D7" s="6"/>
      <c r="E7" s="6"/>
      <c r="F7" s="6"/>
      <c r="G7" s="6"/>
    </row>
    <row r="8" spans="1:7" x14ac:dyDescent="0.2">
      <c r="A8" s="13" t="s">
        <v>12</v>
      </c>
      <c r="B8" s="13" t="s">
        <v>13</v>
      </c>
      <c r="C8" s="14">
        <v>1</v>
      </c>
      <c r="D8" s="15">
        <v>145000</v>
      </c>
      <c r="E8" s="16">
        <f>$E$4</f>
        <v>0.3</v>
      </c>
      <c r="F8" s="17">
        <f>D8*(1+E8)</f>
        <v>188500</v>
      </c>
      <c r="G8" s="17">
        <f>C8*F8</f>
        <v>188500</v>
      </c>
    </row>
    <row r="9" spans="1:7" x14ac:dyDescent="0.2">
      <c r="A9" s="13" t="s">
        <v>14</v>
      </c>
      <c r="B9" s="13" t="s">
        <v>13</v>
      </c>
      <c r="C9" s="14">
        <v>1</v>
      </c>
      <c r="D9" s="15">
        <v>115000</v>
      </c>
      <c r="E9" s="16">
        <f>$E$4</f>
        <v>0.3</v>
      </c>
      <c r="F9" s="17">
        <f>D9*(1+E9)</f>
        <v>149500</v>
      </c>
      <c r="G9" s="17">
        <f>C9*F9</f>
        <v>149500</v>
      </c>
    </row>
    <row r="10" spans="1:7" x14ac:dyDescent="0.2">
      <c r="A10" s="13" t="s">
        <v>15</v>
      </c>
      <c r="B10" s="13" t="s">
        <v>13</v>
      </c>
      <c r="C10" s="14">
        <v>1</v>
      </c>
      <c r="D10" s="15">
        <v>105000</v>
      </c>
      <c r="E10" s="16">
        <f>$E$4</f>
        <v>0.3</v>
      </c>
      <c r="F10" s="17">
        <f>D10*(1+E10)</f>
        <v>136500</v>
      </c>
      <c r="G10" s="17">
        <f>C10*F10</f>
        <v>136500</v>
      </c>
    </row>
    <row r="11" spans="1:7" x14ac:dyDescent="0.2">
      <c r="A11" s="13" t="s">
        <v>16</v>
      </c>
      <c r="B11" s="13" t="s">
        <v>13</v>
      </c>
      <c r="C11" s="14">
        <v>1</v>
      </c>
      <c r="D11" s="15">
        <v>100000</v>
      </c>
      <c r="E11" s="16">
        <f>$E$4</f>
        <v>0.3</v>
      </c>
      <c r="F11" s="17">
        <f>D11*(1+E11)</f>
        <v>130000</v>
      </c>
      <c r="G11" s="17">
        <f>C11*F11</f>
        <v>130000</v>
      </c>
    </row>
    <row r="12" spans="1:7" x14ac:dyDescent="0.2">
      <c r="A12" s="13" t="s">
        <v>17</v>
      </c>
      <c r="B12" s="13" t="s">
        <v>18</v>
      </c>
      <c r="C12" s="14">
        <v>1</v>
      </c>
      <c r="D12" s="15">
        <v>55000</v>
      </c>
      <c r="E12" s="16">
        <f>$E$4</f>
        <v>0.3</v>
      </c>
      <c r="F12" s="17">
        <f>D12*(1+E12)</f>
        <v>71500</v>
      </c>
      <c r="G12" s="17">
        <f>C12*F12</f>
        <v>71500</v>
      </c>
    </row>
    <row r="13" spans="1:7" x14ac:dyDescent="0.2">
      <c r="A13" s="18" t="s">
        <v>19</v>
      </c>
      <c r="B13" s="18"/>
      <c r="C13" s="19">
        <f>SUM(C8:C12)</f>
        <v>5</v>
      </c>
      <c r="D13" s="18"/>
      <c r="E13" s="18"/>
      <c r="F13" s="18"/>
      <c r="G13" s="20">
        <f>SUM(G8:G12)</f>
        <v>676000</v>
      </c>
    </row>
    <row r="15" spans="1:7" ht="21.75" customHeight="1" x14ac:dyDescent="0.2">
      <c r="A15" s="6" t="s">
        <v>20</v>
      </c>
      <c r="B15" s="6"/>
      <c r="C15" s="6"/>
      <c r="D15" s="6"/>
      <c r="E15" s="6"/>
      <c r="F15" s="6"/>
      <c r="G15" s="6"/>
    </row>
    <row r="16" spans="1:7" x14ac:dyDescent="0.2">
      <c r="A16" s="13" t="s">
        <v>21</v>
      </c>
      <c r="B16" s="13" t="s">
        <v>13</v>
      </c>
      <c r="C16" s="14">
        <v>1</v>
      </c>
      <c r="D16" s="15">
        <v>80000</v>
      </c>
      <c r="E16" s="16">
        <f>$E$4</f>
        <v>0.3</v>
      </c>
      <c r="F16" s="17">
        <f>D16*(1+E16)</f>
        <v>104000</v>
      </c>
      <c r="G16" s="17">
        <f>C16*F16</f>
        <v>104000</v>
      </c>
    </row>
    <row r="17" spans="1:7" x14ac:dyDescent="0.2">
      <c r="A17" s="13" t="s">
        <v>22</v>
      </c>
      <c r="B17" s="13" t="s">
        <v>23</v>
      </c>
      <c r="C17" s="14">
        <v>3</v>
      </c>
      <c r="D17" s="15">
        <v>52000</v>
      </c>
      <c r="E17" s="16">
        <f>$E$4</f>
        <v>0.3</v>
      </c>
      <c r="F17" s="17">
        <f>D17*(1+E17)</f>
        <v>67600</v>
      </c>
      <c r="G17" s="17">
        <f>C17*F17</f>
        <v>202800</v>
      </c>
    </row>
    <row r="18" spans="1:7" x14ac:dyDescent="0.2">
      <c r="A18" s="13" t="s">
        <v>24</v>
      </c>
      <c r="B18" s="13" t="s">
        <v>25</v>
      </c>
      <c r="C18" s="14">
        <v>4</v>
      </c>
      <c r="D18" s="15">
        <v>58000</v>
      </c>
      <c r="E18" s="16">
        <f>$E$4</f>
        <v>0.3</v>
      </c>
      <c r="F18" s="17">
        <f>D18*(1+E18)</f>
        <v>75400</v>
      </c>
      <c r="G18" s="17">
        <f>C18*F18</f>
        <v>301600</v>
      </c>
    </row>
    <row r="19" spans="1:7" x14ac:dyDescent="0.2">
      <c r="A19" s="13" t="s">
        <v>26</v>
      </c>
      <c r="B19" s="13" t="s">
        <v>23</v>
      </c>
      <c r="C19" s="14">
        <v>3</v>
      </c>
      <c r="D19" s="15">
        <v>48000</v>
      </c>
      <c r="E19" s="16">
        <f>$E$4</f>
        <v>0.3</v>
      </c>
      <c r="F19" s="17">
        <f>D19*(1+E19)</f>
        <v>62400</v>
      </c>
      <c r="G19" s="17">
        <f>C19*F19</f>
        <v>187200</v>
      </c>
    </row>
    <row r="20" spans="1:7" x14ac:dyDescent="0.2">
      <c r="A20" s="18" t="s">
        <v>27</v>
      </c>
      <c r="B20" s="18"/>
      <c r="C20" s="19">
        <f>SUM(C16:C19)</f>
        <v>11</v>
      </c>
      <c r="D20" s="18"/>
      <c r="E20" s="18"/>
      <c r="F20" s="18"/>
      <c r="G20" s="20">
        <f>SUM(G16:G19)</f>
        <v>795600</v>
      </c>
    </row>
    <row r="22" spans="1:7" ht="21.75" customHeight="1" x14ac:dyDescent="0.2">
      <c r="A22" s="6" t="s">
        <v>28</v>
      </c>
      <c r="B22" s="6"/>
      <c r="C22" s="6"/>
      <c r="D22" s="6"/>
      <c r="E22" s="6"/>
      <c r="F22" s="6"/>
      <c r="G22" s="6"/>
    </row>
    <row r="23" spans="1:7" x14ac:dyDescent="0.2">
      <c r="A23" s="13" t="s">
        <v>29</v>
      </c>
      <c r="B23" s="13" t="s">
        <v>25</v>
      </c>
      <c r="C23" s="14">
        <v>4</v>
      </c>
      <c r="D23" s="15">
        <v>88000</v>
      </c>
      <c r="E23" s="16">
        <f>$E$4</f>
        <v>0.3</v>
      </c>
      <c r="F23" s="17">
        <f>D23*(1+E23)</f>
        <v>114400</v>
      </c>
      <c r="G23" s="17">
        <f>C23*F23</f>
        <v>457600</v>
      </c>
    </row>
    <row r="24" spans="1:7" x14ac:dyDescent="0.2">
      <c r="A24" s="13" t="s">
        <v>30</v>
      </c>
      <c r="B24" s="13" t="s">
        <v>25</v>
      </c>
      <c r="C24" s="14">
        <v>4</v>
      </c>
      <c r="D24" s="15">
        <v>72000</v>
      </c>
      <c r="E24" s="16">
        <f>$E$4</f>
        <v>0.3</v>
      </c>
      <c r="F24" s="17">
        <f>D24*(1+E24)</f>
        <v>93600</v>
      </c>
      <c r="G24" s="17">
        <f>C24*F24</f>
        <v>374400</v>
      </c>
    </row>
    <row r="25" spans="1:7" x14ac:dyDescent="0.2">
      <c r="A25" s="13" t="s">
        <v>31</v>
      </c>
      <c r="B25" s="13" t="s">
        <v>25</v>
      </c>
      <c r="C25" s="14">
        <v>4</v>
      </c>
      <c r="D25" s="15">
        <v>68000</v>
      </c>
      <c r="E25" s="16">
        <f>$E$4</f>
        <v>0.3</v>
      </c>
      <c r="F25" s="17">
        <f>D25*(1+E25)</f>
        <v>88400</v>
      </c>
      <c r="G25" s="17">
        <f>C25*F25</f>
        <v>353600</v>
      </c>
    </row>
    <row r="26" spans="1:7" x14ac:dyDescent="0.2">
      <c r="A26" s="13" t="s">
        <v>32</v>
      </c>
      <c r="B26" s="13" t="s">
        <v>25</v>
      </c>
      <c r="C26" s="14">
        <v>4</v>
      </c>
      <c r="D26" s="15">
        <v>58000</v>
      </c>
      <c r="E26" s="16">
        <f>$E$4</f>
        <v>0.3</v>
      </c>
      <c r="F26" s="17">
        <f>D26*(1+E26)</f>
        <v>75400</v>
      </c>
      <c r="G26" s="17">
        <f>C26*F26</f>
        <v>301600</v>
      </c>
    </row>
    <row r="27" spans="1:7" x14ac:dyDescent="0.2">
      <c r="A27" s="18" t="s">
        <v>33</v>
      </c>
      <c r="B27" s="18"/>
      <c r="C27" s="19">
        <f>SUM(C23:C26)</f>
        <v>16</v>
      </c>
      <c r="D27" s="18"/>
      <c r="E27" s="18"/>
      <c r="F27" s="18"/>
      <c r="G27" s="20">
        <f>SUM(G23:G26)</f>
        <v>1487200</v>
      </c>
    </row>
    <row r="29" spans="1:7" ht="21.75" customHeight="1" x14ac:dyDescent="0.2">
      <c r="A29" s="6" t="s">
        <v>34</v>
      </c>
      <c r="B29" s="6"/>
      <c r="C29" s="6"/>
      <c r="D29" s="6"/>
      <c r="E29" s="6"/>
      <c r="F29" s="6"/>
      <c r="G29" s="6"/>
    </row>
    <row r="30" spans="1:7" x14ac:dyDescent="0.2">
      <c r="A30" s="13" t="s">
        <v>35</v>
      </c>
      <c r="B30" s="13" t="s">
        <v>25</v>
      </c>
      <c r="C30" s="14">
        <v>4</v>
      </c>
      <c r="D30" s="15">
        <v>72000</v>
      </c>
      <c r="E30" s="16">
        <f>$E$4</f>
        <v>0.3</v>
      </c>
      <c r="F30" s="17">
        <f>D30*(1+E30)</f>
        <v>93600</v>
      </c>
      <c r="G30" s="17">
        <f>C30*F30</f>
        <v>374400</v>
      </c>
    </row>
    <row r="31" spans="1:7" x14ac:dyDescent="0.2">
      <c r="A31" s="13" t="s">
        <v>36</v>
      </c>
      <c r="B31" s="13" t="s">
        <v>37</v>
      </c>
      <c r="C31" s="14">
        <v>2</v>
      </c>
      <c r="D31" s="15">
        <v>60000</v>
      </c>
      <c r="E31" s="16">
        <f>$E$4</f>
        <v>0.3</v>
      </c>
      <c r="F31" s="17">
        <f>D31*(1+E31)</f>
        <v>78000</v>
      </c>
      <c r="G31" s="17">
        <f>C31*F31</f>
        <v>156000</v>
      </c>
    </row>
    <row r="32" spans="1:7" x14ac:dyDescent="0.2">
      <c r="A32" s="13" t="s">
        <v>38</v>
      </c>
      <c r="B32" s="13" t="s">
        <v>39</v>
      </c>
      <c r="C32" s="14">
        <v>2</v>
      </c>
      <c r="D32" s="15">
        <v>48000</v>
      </c>
      <c r="E32" s="16">
        <f>$E$4</f>
        <v>0.3</v>
      </c>
      <c r="F32" s="17">
        <f>D32*(1+E32)</f>
        <v>62400</v>
      </c>
      <c r="G32" s="17">
        <f>C32*F32</f>
        <v>124800</v>
      </c>
    </row>
    <row r="33" spans="1:7" x14ac:dyDescent="0.2">
      <c r="A33" s="18" t="s">
        <v>40</v>
      </c>
      <c r="B33" s="18"/>
      <c r="C33" s="19">
        <f>SUM(C30:C32)</f>
        <v>8</v>
      </c>
      <c r="D33" s="18"/>
      <c r="E33" s="18"/>
      <c r="F33" s="18"/>
      <c r="G33" s="20">
        <f>SUM(G30:G32)</f>
        <v>655200</v>
      </c>
    </row>
    <row r="35" spans="1:7" ht="21.75" customHeight="1" x14ac:dyDescent="0.2">
      <c r="A35" s="6" t="s">
        <v>41</v>
      </c>
      <c r="B35" s="6"/>
      <c r="C35" s="6"/>
      <c r="D35" s="6"/>
      <c r="E35" s="6"/>
      <c r="F35" s="6"/>
      <c r="G35" s="6"/>
    </row>
    <row r="36" spans="1:7" x14ac:dyDescent="0.2">
      <c r="A36" s="13" t="s">
        <v>42</v>
      </c>
      <c r="B36" s="13" t="s">
        <v>25</v>
      </c>
      <c r="C36" s="14">
        <v>4</v>
      </c>
      <c r="D36" s="15">
        <v>55000</v>
      </c>
      <c r="E36" s="16">
        <f>$E$4</f>
        <v>0.3</v>
      </c>
      <c r="F36" s="17">
        <f>D36*(1+E36)</f>
        <v>71500</v>
      </c>
      <c r="G36" s="17">
        <f>C36*F36</f>
        <v>286000</v>
      </c>
    </row>
    <row r="37" spans="1:7" x14ac:dyDescent="0.2">
      <c r="A37" s="13" t="s">
        <v>43</v>
      </c>
      <c r="B37" s="13" t="s">
        <v>37</v>
      </c>
      <c r="C37" s="14">
        <v>2</v>
      </c>
      <c r="D37" s="15">
        <v>45000</v>
      </c>
      <c r="E37" s="16">
        <f>$E$4</f>
        <v>0.3</v>
      </c>
      <c r="F37" s="17">
        <f>D37*(1+E37)</f>
        <v>58500</v>
      </c>
      <c r="G37" s="17">
        <f>C37*F37</f>
        <v>117000</v>
      </c>
    </row>
    <row r="38" spans="1:7" x14ac:dyDescent="0.2">
      <c r="A38" s="18" t="s">
        <v>44</v>
      </c>
      <c r="B38" s="18"/>
      <c r="C38" s="19">
        <f>SUM(C36:C37)</f>
        <v>6</v>
      </c>
      <c r="D38" s="18"/>
      <c r="E38" s="18"/>
      <c r="F38" s="18"/>
      <c r="G38" s="20">
        <f>SUM(G36:G37)</f>
        <v>403000</v>
      </c>
    </row>
    <row r="40" spans="1:7" ht="21.75" customHeight="1" x14ac:dyDescent="0.2">
      <c r="A40" s="6" t="s">
        <v>45</v>
      </c>
      <c r="B40" s="6"/>
      <c r="C40" s="6"/>
      <c r="D40" s="6"/>
      <c r="E40" s="6"/>
      <c r="F40" s="6"/>
      <c r="G40" s="6"/>
    </row>
    <row r="41" spans="1:7" x14ac:dyDescent="0.2">
      <c r="A41" s="13" t="s">
        <v>46</v>
      </c>
      <c r="B41" s="13" t="s">
        <v>47</v>
      </c>
      <c r="C41" s="14">
        <v>3</v>
      </c>
      <c r="D41" s="15">
        <v>68000</v>
      </c>
      <c r="E41" s="16">
        <f>$E$4</f>
        <v>0.3</v>
      </c>
      <c r="F41" s="17">
        <f>D41*(1+E41)</f>
        <v>88400</v>
      </c>
      <c r="G41" s="17">
        <f>C41*F41</f>
        <v>265200</v>
      </c>
    </row>
    <row r="42" spans="1:7" x14ac:dyDescent="0.2">
      <c r="A42" s="13" t="s">
        <v>48</v>
      </c>
      <c r="B42" s="13" t="s">
        <v>49</v>
      </c>
      <c r="C42" s="14">
        <v>2</v>
      </c>
      <c r="D42" s="15">
        <v>78000</v>
      </c>
      <c r="E42" s="16">
        <f>$E$4</f>
        <v>0.3</v>
      </c>
      <c r="F42" s="17">
        <f>D42*(1+E42)</f>
        <v>101400</v>
      </c>
      <c r="G42" s="17">
        <f>C42*F42</f>
        <v>202800</v>
      </c>
    </row>
    <row r="43" spans="1:7" x14ac:dyDescent="0.2">
      <c r="A43" s="13" t="s">
        <v>50</v>
      </c>
      <c r="B43" s="13" t="s">
        <v>49</v>
      </c>
      <c r="C43" s="14">
        <v>2</v>
      </c>
      <c r="D43" s="15">
        <v>82000</v>
      </c>
      <c r="E43" s="16">
        <f>$E$4</f>
        <v>0.3</v>
      </c>
      <c r="F43" s="17">
        <f>D43*(1+E43)</f>
        <v>106600</v>
      </c>
      <c r="G43" s="17">
        <f>C43*F43</f>
        <v>213200</v>
      </c>
    </row>
    <row r="44" spans="1:7" x14ac:dyDescent="0.2">
      <c r="A44" s="13" t="s">
        <v>51</v>
      </c>
      <c r="B44" s="13" t="s">
        <v>18</v>
      </c>
      <c r="C44" s="14">
        <v>1</v>
      </c>
      <c r="D44" s="15">
        <v>95000</v>
      </c>
      <c r="E44" s="16">
        <f>$E$4</f>
        <v>0.3</v>
      </c>
      <c r="F44" s="17">
        <f>D44*(1+E44)</f>
        <v>123500</v>
      </c>
      <c r="G44" s="17">
        <f>C44*F44</f>
        <v>123500</v>
      </c>
    </row>
    <row r="45" spans="1:7" x14ac:dyDescent="0.2">
      <c r="A45" s="18" t="s">
        <v>52</v>
      </c>
      <c r="B45" s="18"/>
      <c r="C45" s="19">
        <f>SUM(C41:C44)</f>
        <v>8</v>
      </c>
      <c r="D45" s="18"/>
      <c r="E45" s="18"/>
      <c r="F45" s="18"/>
      <c r="G45" s="20">
        <f>SUM(G41:G44)</f>
        <v>804700</v>
      </c>
    </row>
    <row r="47" spans="1:7" ht="21.75" customHeight="1" x14ac:dyDescent="0.2">
      <c r="A47" s="6" t="s">
        <v>53</v>
      </c>
      <c r="B47" s="6"/>
      <c r="C47" s="6"/>
      <c r="D47" s="6"/>
      <c r="E47" s="6"/>
      <c r="F47" s="6"/>
      <c r="G47" s="6"/>
    </row>
    <row r="48" spans="1:7" x14ac:dyDescent="0.2">
      <c r="A48" s="13" t="s">
        <v>54</v>
      </c>
      <c r="B48" s="13" t="s">
        <v>13</v>
      </c>
      <c r="C48" s="14">
        <v>1</v>
      </c>
      <c r="D48" s="15">
        <v>95000</v>
      </c>
      <c r="E48" s="16">
        <f>$E$4</f>
        <v>0.3</v>
      </c>
      <c r="F48" s="17">
        <f>D48*(1+E48)</f>
        <v>123500</v>
      </c>
      <c r="G48" s="17">
        <f>C48*F48</f>
        <v>123500</v>
      </c>
    </row>
    <row r="49" spans="1:7" x14ac:dyDescent="0.2">
      <c r="A49" s="13" t="s">
        <v>55</v>
      </c>
      <c r="B49" s="13" t="s">
        <v>23</v>
      </c>
      <c r="C49" s="14">
        <v>3</v>
      </c>
      <c r="D49" s="15">
        <v>58000</v>
      </c>
      <c r="E49" s="16">
        <f>$E$4</f>
        <v>0.3</v>
      </c>
      <c r="F49" s="17">
        <f>D49*(1+E49)</f>
        <v>75400</v>
      </c>
      <c r="G49" s="17">
        <f>C49*F49</f>
        <v>226200</v>
      </c>
    </row>
    <row r="50" spans="1:7" x14ac:dyDescent="0.2">
      <c r="A50" s="13" t="s">
        <v>56</v>
      </c>
      <c r="B50" s="13" t="s">
        <v>18</v>
      </c>
      <c r="C50" s="14">
        <v>1</v>
      </c>
      <c r="D50" s="15">
        <v>55000</v>
      </c>
      <c r="E50" s="16">
        <f>$E$4</f>
        <v>0.3</v>
      </c>
      <c r="F50" s="17">
        <f>D50*(1+E50)</f>
        <v>71500</v>
      </c>
      <c r="G50" s="17">
        <f>C50*F50</f>
        <v>71500</v>
      </c>
    </row>
    <row r="51" spans="1:7" x14ac:dyDescent="0.2">
      <c r="A51" s="18" t="s">
        <v>57</v>
      </c>
      <c r="B51" s="18"/>
      <c r="C51" s="19">
        <f>SUM(C48:C50)</f>
        <v>5</v>
      </c>
      <c r="D51" s="18"/>
      <c r="E51" s="18"/>
      <c r="F51" s="18"/>
      <c r="G51" s="20">
        <f>SUM(G48:G50)</f>
        <v>421200</v>
      </c>
    </row>
    <row r="53" spans="1:7" ht="21.75" customHeight="1" x14ac:dyDescent="0.2">
      <c r="A53" s="6" t="s">
        <v>58</v>
      </c>
      <c r="B53" s="6"/>
      <c r="C53" s="6"/>
      <c r="D53" s="6"/>
      <c r="E53" s="6"/>
      <c r="F53" s="6"/>
      <c r="G53" s="6"/>
    </row>
    <row r="54" spans="1:7" x14ac:dyDescent="0.2">
      <c r="A54" s="13" t="s">
        <v>59</v>
      </c>
      <c r="B54" s="13" t="s">
        <v>49</v>
      </c>
      <c r="C54" s="14">
        <v>1</v>
      </c>
      <c r="D54" s="15">
        <v>70000</v>
      </c>
      <c r="E54" s="16">
        <f>$E$4</f>
        <v>0.3</v>
      </c>
      <c r="F54" s="17">
        <f>D54*(1+E54)</f>
        <v>91000</v>
      </c>
      <c r="G54" s="17">
        <f>C54*F54</f>
        <v>91000</v>
      </c>
    </row>
    <row r="55" spans="1:7" x14ac:dyDescent="0.2">
      <c r="A55" s="13" t="s">
        <v>60</v>
      </c>
      <c r="B55" s="13" t="s">
        <v>18</v>
      </c>
      <c r="C55" s="14">
        <v>1</v>
      </c>
      <c r="D55" s="15">
        <v>65000</v>
      </c>
      <c r="E55" s="16">
        <f>$E$4</f>
        <v>0.3</v>
      </c>
      <c r="F55" s="17">
        <f>D55*(1+E55)</f>
        <v>84500</v>
      </c>
      <c r="G55" s="17">
        <f>C55*F55</f>
        <v>84500</v>
      </c>
    </row>
    <row r="56" spans="1:7" x14ac:dyDescent="0.2">
      <c r="A56" s="13" t="s">
        <v>61</v>
      </c>
      <c r="B56" s="13" t="s">
        <v>18</v>
      </c>
      <c r="C56" s="14">
        <v>1</v>
      </c>
      <c r="D56" s="15">
        <v>80000</v>
      </c>
      <c r="E56" s="16">
        <f>$E$4</f>
        <v>0.3</v>
      </c>
      <c r="F56" s="17">
        <f>D56*(1+E56)</f>
        <v>104000</v>
      </c>
      <c r="G56" s="17">
        <f>C56*F56</f>
        <v>104000</v>
      </c>
    </row>
    <row r="57" spans="1:7" x14ac:dyDescent="0.2">
      <c r="A57" s="18" t="s">
        <v>62</v>
      </c>
      <c r="B57" s="18"/>
      <c r="C57" s="19">
        <f>SUM(C54:C56)</f>
        <v>3</v>
      </c>
      <c r="D57" s="18"/>
      <c r="E57" s="18"/>
      <c r="F57" s="18"/>
      <c r="G57" s="20">
        <f>SUM(G54:G56)</f>
        <v>279500</v>
      </c>
    </row>
    <row r="59" spans="1:7" ht="25.5" customHeight="1" x14ac:dyDescent="0.2">
      <c r="A59" s="21" t="s">
        <v>63</v>
      </c>
      <c r="B59" s="21"/>
      <c r="C59" s="22">
        <f>C13+C20+C27+C33+C38+C45+C51+C57</f>
        <v>62</v>
      </c>
      <c r="D59" s="21"/>
      <c r="E59" s="21"/>
      <c r="F59" s="21"/>
      <c r="G59" s="23">
        <f>G13+G20+G27+G33+G38+G45+G51+G57</f>
        <v>5522400</v>
      </c>
    </row>
    <row r="61" spans="1:7" ht="19.5" customHeight="1" x14ac:dyDescent="0.2">
      <c r="A61" s="9" t="s">
        <v>64</v>
      </c>
      <c r="B61" s="9"/>
      <c r="C61" s="9"/>
      <c r="D61" s="9"/>
      <c r="E61" s="9"/>
      <c r="F61" s="9"/>
      <c r="G61" s="9"/>
    </row>
    <row r="62" spans="1:7" x14ac:dyDescent="0.2">
      <c r="A62" s="5" t="s">
        <v>65</v>
      </c>
      <c r="B62" s="5"/>
      <c r="C62" s="5"/>
      <c r="D62" s="5"/>
      <c r="E62" s="5"/>
      <c r="F62" s="4">
        <f>C59</f>
        <v>62</v>
      </c>
      <c r="G62" s="4"/>
    </row>
    <row r="63" spans="1:7" x14ac:dyDescent="0.2">
      <c r="A63" s="5" t="s">
        <v>66</v>
      </c>
      <c r="B63" s="5"/>
      <c r="C63" s="5"/>
      <c r="D63" s="5"/>
      <c r="E63" s="5"/>
      <c r="F63" s="3">
        <f>G59</f>
        <v>5522400</v>
      </c>
      <c r="G63" s="3"/>
    </row>
    <row r="64" spans="1:7" x14ac:dyDescent="0.2">
      <c r="A64" s="5" t="s">
        <v>67</v>
      </c>
      <c r="B64" s="5"/>
      <c r="C64" s="5"/>
      <c r="D64" s="5"/>
      <c r="E64" s="5"/>
      <c r="F64" s="3">
        <f>G59/C59</f>
        <v>89070.967741935485</v>
      </c>
      <c r="G64" s="3"/>
    </row>
    <row r="65" spans="1:7" x14ac:dyDescent="0.2">
      <c r="A65" s="5" t="s">
        <v>68</v>
      </c>
      <c r="B65" s="5"/>
      <c r="C65" s="5"/>
      <c r="D65" s="5"/>
      <c r="E65" s="5"/>
      <c r="F65" s="3">
        <f>G59/12</f>
        <v>460200</v>
      </c>
      <c r="G65" s="3"/>
    </row>
    <row r="66" spans="1:7" x14ac:dyDescent="0.2">
      <c r="A66" s="5" t="s">
        <v>69</v>
      </c>
      <c r="B66" s="5"/>
      <c r="C66" s="5"/>
      <c r="D66" s="5"/>
      <c r="E66" s="5"/>
      <c r="F66" s="3">
        <f>G59/52</f>
        <v>106200</v>
      </c>
      <c r="G66" s="3"/>
    </row>
    <row r="69" spans="1:7" ht="19.5" customHeight="1" x14ac:dyDescent="0.2">
      <c r="A69" s="9" t="s">
        <v>70</v>
      </c>
      <c r="B69" s="9"/>
      <c r="C69" s="9"/>
      <c r="D69" s="9"/>
      <c r="E69" s="9"/>
      <c r="F69" s="9"/>
      <c r="G69" s="9"/>
    </row>
    <row r="70" spans="1:7" ht="30" customHeight="1" x14ac:dyDescent="0.2">
      <c r="A70" s="2" t="s">
        <v>71</v>
      </c>
      <c r="B70" s="2"/>
      <c r="C70" s="2"/>
      <c r="D70" s="2"/>
      <c r="E70" s="2"/>
      <c r="F70" s="2"/>
      <c r="G70" s="2"/>
    </row>
    <row r="71" spans="1:7" ht="30" customHeight="1" x14ac:dyDescent="0.2">
      <c r="A71" s="2" t="s">
        <v>72</v>
      </c>
      <c r="B71" s="2"/>
      <c r="C71" s="2"/>
      <c r="D71" s="2"/>
      <c r="E71" s="2"/>
      <c r="F71" s="2"/>
      <c r="G71" s="2"/>
    </row>
    <row r="72" spans="1:7" ht="30" customHeight="1" x14ac:dyDescent="0.2">
      <c r="A72" s="2" t="s">
        <v>73</v>
      </c>
      <c r="B72" s="2"/>
      <c r="C72" s="2"/>
      <c r="D72" s="2"/>
      <c r="E72" s="2"/>
      <c r="F72" s="2"/>
      <c r="G72" s="2"/>
    </row>
    <row r="73" spans="1:7" ht="30" customHeight="1" x14ac:dyDescent="0.2">
      <c r="A73" s="2" t="s">
        <v>74</v>
      </c>
      <c r="B73" s="2"/>
      <c r="C73" s="2"/>
      <c r="D73" s="2"/>
      <c r="E73" s="2"/>
      <c r="F73" s="2"/>
      <c r="G73" s="2"/>
    </row>
    <row r="74" spans="1:7" ht="30" customHeight="1" x14ac:dyDescent="0.2">
      <c r="A74" s="2" t="s">
        <v>75</v>
      </c>
      <c r="B74" s="2"/>
      <c r="C74" s="2"/>
      <c r="D74" s="2"/>
      <c r="E74" s="2"/>
      <c r="F74" s="2"/>
      <c r="G74" s="2"/>
    </row>
    <row r="75" spans="1:7" ht="30" customHeight="1" x14ac:dyDescent="0.2">
      <c r="A75" s="2" t="s">
        <v>76</v>
      </c>
      <c r="B75" s="2"/>
      <c r="C75" s="2"/>
      <c r="D75" s="2"/>
      <c r="E75" s="2"/>
      <c r="F75" s="2"/>
      <c r="G75" s="2"/>
    </row>
    <row r="76" spans="1:7" ht="30" customHeight="1" x14ac:dyDescent="0.2">
      <c r="A76" s="2" t="s">
        <v>77</v>
      </c>
      <c r="B76" s="2"/>
      <c r="C76" s="2"/>
      <c r="D76" s="2"/>
      <c r="E76" s="2"/>
      <c r="F76" s="2"/>
      <c r="G76" s="2"/>
    </row>
    <row r="77" spans="1:7" ht="30" customHeight="1" x14ac:dyDescent="0.2">
      <c r="A77" s="2" t="s">
        <v>78</v>
      </c>
      <c r="B77" s="2"/>
      <c r="C77" s="2"/>
      <c r="D77" s="2"/>
      <c r="E77" s="2"/>
      <c r="F77" s="2"/>
      <c r="G77" s="2"/>
    </row>
    <row r="78" spans="1:7" ht="30" customHeight="1" x14ac:dyDescent="0.2">
      <c r="A78" s="2" t="s">
        <v>79</v>
      </c>
      <c r="B78" s="2"/>
      <c r="C78" s="2"/>
      <c r="D78" s="2"/>
      <c r="E78" s="2"/>
      <c r="F78" s="2"/>
      <c r="G78" s="2"/>
    </row>
    <row r="79" spans="1:7" ht="30" customHeight="1" x14ac:dyDescent="0.2">
      <c r="A79" s="2" t="s">
        <v>80</v>
      </c>
      <c r="B79" s="2"/>
      <c r="C79" s="2"/>
      <c r="D79" s="2"/>
      <c r="E79" s="2"/>
      <c r="F79" s="2"/>
      <c r="G79" s="2"/>
    </row>
    <row r="80" spans="1:7" ht="30" customHeight="1" x14ac:dyDescent="0.2">
      <c r="A80" s="2" t="s">
        <v>81</v>
      </c>
      <c r="B80" s="2"/>
      <c r="C80" s="2"/>
      <c r="D80" s="2"/>
      <c r="E80" s="2"/>
      <c r="F80" s="2"/>
      <c r="G80" s="2"/>
    </row>
    <row r="82" spans="1:7" ht="18" customHeight="1" x14ac:dyDescent="0.2">
      <c r="A82" s="1" t="s">
        <v>82</v>
      </c>
      <c r="B82" s="1"/>
      <c r="C82" s="1"/>
      <c r="D82" s="1"/>
      <c r="E82" s="1"/>
      <c r="F82" s="1"/>
      <c r="G82" s="1"/>
    </row>
  </sheetData>
  <mergeCells count="36">
    <mergeCell ref="A77:G77"/>
    <mergeCell ref="A78:G78"/>
    <mergeCell ref="A79:G79"/>
    <mergeCell ref="A80:G80"/>
    <mergeCell ref="A82:G82"/>
    <mergeCell ref="A72:G72"/>
    <mergeCell ref="A73:G73"/>
    <mergeCell ref="A74:G74"/>
    <mergeCell ref="A75:G75"/>
    <mergeCell ref="A76:G76"/>
    <mergeCell ref="A66:E66"/>
    <mergeCell ref="F66:G66"/>
    <mergeCell ref="A69:G69"/>
    <mergeCell ref="A70:G70"/>
    <mergeCell ref="A71:G71"/>
    <mergeCell ref="A63:E63"/>
    <mergeCell ref="F63:G63"/>
    <mergeCell ref="A64:E64"/>
    <mergeCell ref="F64:G64"/>
    <mergeCell ref="A65:E65"/>
    <mergeCell ref="F65:G65"/>
    <mergeCell ref="A47:G47"/>
    <mergeCell ref="A53:G53"/>
    <mergeCell ref="A61:G61"/>
    <mergeCell ref="A62:E62"/>
    <mergeCell ref="F62:G62"/>
    <mergeCell ref="A15:G15"/>
    <mergeCell ref="A22:G22"/>
    <mergeCell ref="A29:G29"/>
    <mergeCell ref="A35:G35"/>
    <mergeCell ref="A40:G40"/>
    <mergeCell ref="A1:G1"/>
    <mergeCell ref="A2:G2"/>
    <mergeCell ref="A4:D4"/>
    <mergeCell ref="F4:G4"/>
    <mergeCell ref="A7:G7"/>
  </mergeCells>
  <printOptions horizontalCentered="1"/>
  <pageMargins left="0.4" right="0.4" top="0.5" bottom="0.5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 Pro 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Vincent Tizio</cp:lastModifiedBy>
  <cp:revision>0</cp:revision>
  <dcterms:created xsi:type="dcterms:W3CDTF">2026-05-27T19:30:52Z</dcterms:created>
  <dcterms:modified xsi:type="dcterms:W3CDTF">2026-05-27T19:38:05Z</dcterms:modified>
  <dc:language>en-US</dc:language>
</cp:coreProperties>
</file>