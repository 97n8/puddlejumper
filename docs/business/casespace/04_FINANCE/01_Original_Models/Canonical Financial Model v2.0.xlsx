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overnance Controls" sheetId="2" state="visible" r:id="rId4"/>
    <sheet name="Assumptions" sheetId="3" state="visible" r:id="rId5"/>
    <sheet name="WasteWerx Cost" sheetId="4" state="visible" r:id="rId6"/>
    <sheet name="Revenue" sheetId="5" state="visible" r:id="rId7"/>
    <sheet name="Per-Site P&amp;L" sheetId="6" state="visible" r:id="rId8"/>
    <sheet name="Corridor x3" sheetId="7" state="visible" r:id="rId9"/>
    <sheet name="Flags" sheetId="8" state="visible" r:id="rId10"/>
    <sheet name="Reconcili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<sst xmlns="http://schemas.openxmlformats.org/spreadsheetml/2006/main" count="308" uniqueCount="251">
  <si>
    <t xml:space="preserve">CANONICAL FINANCIAL MODEL v2.0 — MICHIGAN LTC NETWORK</t>
  </si>
  <si>
    <t xml:space="preserve">BASIS   Keyed line-for-line to the EXECUTED WasteWerx Model 3 License Pro Forma.</t>
  </si>
  <si>
    <t xml:space="preserve">No calibration, no memory. Every figure is a signed-document value or a formula</t>
  </si>
  <si>
    <t xml:space="preserve">over signed inputs. The Reconciliation tab ties to zero by construction.</t>
  </si>
  <si>
    <t xml:space="preserve">SUPERSEDES   v1.x, built from memory. v1 overstated Year 1 (stacked all milestones + 9 mo</t>
  </si>
  <si>
    <t xml:space="preserve">monitoring) and understated the cost base (consolidated $1.1M opex placeholder).</t>
  </si>
  <si>
    <t xml:space="preserve">Both are corrected here from the Pro Forma's actual phasing and $5.38M opex lines.</t>
  </si>
  <si>
    <t xml:space="preserve">TIES TO   Year 1 to WasteWerx $6,670,328 · Year 1 total cash out $7,622,828 ·</t>
  </si>
  <si>
    <t xml:space="preserve">Steady-state revenue $35,581,680 · Steady-state EBITDA $30,200,531 · Payback 0.25 yr.</t>
  </si>
  <si>
    <t xml:space="preserve">STRUCTURE   License, not sale. Title stays with WasteWerx. NOT depreciable. 20-yr term +</t>
  </si>
  <si>
    <t xml:space="preserve">5-yr auto-renewals. Early termination after Year 3: remaining current-year MAR</t>
  </si>
  <si>
    <t xml:space="preserve">plus 50% of next year's MAR. Customer is the producer and retains 100% of revenue.</t>
  </si>
  <si>
    <t xml:space="preserve">REVENUE   RD + SAF specific, per Pro Forma Revenue Summary: fuel sales + D4/D7 RINs +</t>
  </si>
  <si>
    <t xml:space="preserve">§45Z (RD and enhanced SAF). Carbon black is NOT in base revenue — see Flags.</t>
  </si>
  <si>
    <t xml:space="preserve">TABS   README · Governance Controls · Assumptions · WasteWerx Cost · Revenue ·</t>
  </si>
  <si>
    <t xml:space="preserve">Per-Site P&amp;L · Corridor x3 · Flags · Reconciliation</t>
  </si>
  <si>
    <t xml:space="preserve">STATUS   Now ties to the executed Pro Forma. Open items are commercial, not modeling:</t>
  </si>
  <si>
    <t xml:space="preserve">carbon-black grade/price (Flag 1) and RFS/§45Z qualification (Flag 3). See Flags.</t>
  </si>
  <si>
    <t xml:space="preserve">GOVERNANCE CONTROLS — MODEL CONTROL INSTRUMENT</t>
  </si>
  <si>
    <t xml:space="preserve">MODEL CONTROL</t>
  </si>
  <si>
    <t xml:space="preserve">Model</t>
  </si>
  <si>
    <t xml:space="preserve">Michigan LTC Network — Canonical Financial Model</t>
  </si>
  <si>
    <t xml:space="preserve">Version</t>
  </si>
  <si>
    <t xml:space="preserve">v2.0 — keyed to executed Pro Forma (supersedes v1.x calibrated)</t>
  </si>
  <si>
    <t xml:space="preserve">Status</t>
  </si>
  <si>
    <t xml:space="preserve">TIES TO EXECUTED PRO FORMA — diligence-grade reconciliation</t>
  </si>
  <si>
    <t xml:space="preserve">Control owner</t>
  </si>
  <si>
    <t xml:space="preserve">PublicLogic LLC — governance, compliance, documentation</t>
  </si>
  <si>
    <t xml:space="preserve">Basis of record</t>
  </si>
  <si>
    <t xml:space="preserve">Executed WasteWerx Model 3 License Pro Forma + Feedstock Yield Model</t>
  </si>
  <si>
    <t xml:space="preserve">Lock state</t>
  </si>
  <si>
    <t xml:space="preserve">Inputs are signed-document values. Open items are commercial (Flags 1, 3).</t>
  </si>
  <si>
    <t xml:space="preserve">Update cadence</t>
  </si>
  <si>
    <t xml:space="preserve">On any executed-document change, or before external circulation.</t>
  </si>
  <si>
    <t xml:space="preserve">Circulation rule</t>
  </si>
  <si>
    <t xml:space="preserve">No investor circulation until Flag 1 closes and Walton briefed on Flag 2.</t>
  </si>
  <si>
    <t xml:space="preserve">CHANGE LOG</t>
  </si>
  <si>
    <t xml:space="preserve">Date</t>
  </si>
  <si>
    <t xml:space="preserve">Change</t>
  </si>
  <si>
    <t xml:space="preserve">v1.x</t>
  </si>
  <si>
    <t xml:space="preserve">May 2026</t>
  </si>
  <si>
    <t xml:space="preserve">Built from memory; required revenue calibration; Year 1 overstated, cost base understated — SUPERSEDED</t>
  </si>
  <si>
    <t xml:space="preserve">v2.0</t>
  </si>
  <si>
    <t xml:space="preserve">Rebuilt keyed line-for-line to executed Pro Forma. Zero calibration. All reconciliation deltas zero by construction. RD+SAF revenue split, real .38M opex structure, Pro Forma Year 1 phasing.</t>
  </si>
  <si>
    <t xml:space="preserve">DISTRIBUTION CONTROL</t>
  </si>
  <si>
    <t xml:space="preserve">Recipient</t>
  </si>
  <si>
    <t xml:space="preserve">Stage</t>
  </si>
  <si>
    <t xml:space="preserve">Receives this model?</t>
  </si>
  <si>
    <t xml:space="preserve">EGLE OCE (grant)</t>
  </si>
  <si>
    <t xml:space="preserve">LOI</t>
  </si>
  <si>
    <t xml:space="preserve">NO — LOIs only; model is not an LOI-stage artifact</t>
  </si>
  <si>
    <t xml:space="preserve">EGLE — Sanabria (regulatory)</t>
  </si>
  <si>
    <t xml:space="preserve">Pre-application</t>
  </si>
  <si>
    <t xml:space="preserve">NO — regulatory briefs only</t>
  </si>
  <si>
    <t xml:space="preserve">Full project team</t>
  </si>
  <si>
    <t xml:space="preserve">Internal</t>
  </si>
  <si>
    <t xml:space="preserve">YES — operating + grant-strategy package</t>
  </si>
  <si>
    <t xml:space="preserve">Acadia / Walton</t>
  </si>
  <si>
    <t xml:space="preserve">Pre-investor</t>
  </si>
  <si>
    <t xml:space="preserve">YES — with Flag 2 briefing, before investor numbers</t>
  </si>
  <si>
    <t xml:space="preserve">Prospective investors</t>
  </si>
  <si>
    <t xml:space="preserve">Diligence</t>
  </si>
  <si>
    <t xml:space="preserve">NOT UNTIL Flag 1 closes + Walton briefed on Flag 2</t>
  </si>
  <si>
    <t xml:space="preserve">This tab is the model control instrument. v2 ties to the signed Pro Forma; the only open items are commercial (carbon-black grade/price, RFS/45Z qualification), not modeling.</t>
  </si>
  <si>
    <t xml:space="preserve">ASSUMPTIONS — ALL FROM EXECUTED PRO FORMA  (yellow = signed input)</t>
  </si>
  <si>
    <t xml:space="preserve">WASTEWERX LICENSE — PAYMENT SCHEDULE (signed)</t>
  </si>
  <si>
    <t xml:space="preserve">Design fee (credited to license)</t>
  </si>
  <si>
    <t xml:space="preserve">$</t>
  </si>
  <si>
    <t xml:space="preserve">Pro Forma Payment Schedule, Phase 0</t>
  </si>
  <si>
    <t xml:space="preserve">Phase 1 — initial deposit (50%, net of design credit)</t>
  </si>
  <si>
    <t xml:space="preserve">Payment Schedule, Phase 1</t>
  </si>
  <si>
    <t xml:space="preserve">Phase 2 — build progress (25%)</t>
  </si>
  <si>
    <t xml:space="preserve">Payment Schedule, Phase 2</t>
  </si>
  <si>
    <t xml:space="preserve">Phase 3 — build complete (15%)</t>
  </si>
  <si>
    <t xml:space="preserve">Payment Schedule, Phase 3</t>
  </si>
  <si>
    <t xml:space="preserve">Phase 4 — delivery &amp; handoff (10%)</t>
  </si>
  <si>
    <t xml:space="preserve">Payment Schedule, Phase 4</t>
  </si>
  <si>
    <t xml:space="preserve">Monthly monitoring fee</t>
  </si>
  <si>
    <t xml:space="preserve">$/mo</t>
  </si>
  <si>
    <t xml:space="preserve">Pro Forma; begins at commissioning (Month 8), CPI-indexed</t>
  </si>
  <si>
    <t xml:space="preserve">Year 1 monthly fee months (Month 8–12)</t>
  </si>
  <si>
    <t xml:space="preserve">months</t>
  </si>
  <si>
    <t xml:space="preserve">Payment Schedule — 5 months in Year 1</t>
  </si>
  <si>
    <t xml:space="preserve">Production royalty</t>
  </si>
  <si>
    <t xml:space="preserve">$/gal</t>
  </si>
  <si>
    <t xml:space="preserve">Pro Forma; greater of actual or MAR</t>
  </si>
  <si>
    <t xml:space="preserve">Year 1 royalty (partial, Months 9–12)</t>
  </si>
  <si>
    <t xml:space="preserve">Payment Schedule — 13,824 gpd × 30 × 4 mo × $0.60</t>
  </si>
  <si>
    <t xml:space="preserve">PRODUCTION — PRO FORMA EXHIBIT A</t>
  </si>
  <si>
    <t xml:space="preserve">Daily fuel production (RD 7,056 + SAF 6,768)</t>
  </si>
  <si>
    <t xml:space="preserve">gal/day</t>
  </si>
  <si>
    <t xml:space="preserve">Operating Costs / Exhibit A</t>
  </si>
  <si>
    <t xml:space="preserve">Operating days / year</t>
  </si>
  <si>
    <t xml:space="preserve">days</t>
  </si>
  <si>
    <t xml:space="preserve">Exhibit A nameplate definition</t>
  </si>
  <si>
    <t xml:space="preserve">Renewable Diesel — daily</t>
  </si>
  <si>
    <t xml:space="preserve">Revenue Summary</t>
  </si>
  <si>
    <t xml:space="preserve">SAF / Kerosene — daily</t>
  </si>
  <si>
    <t xml:space="preserve">REVENUE PRICING — PRO FORMA REVENUE SUMMARY (signed)</t>
  </si>
  <si>
    <t xml:space="preserve">RD wholesale gate price</t>
  </si>
  <si>
    <t xml:space="preserve">SAF wholesale gate price</t>
  </si>
  <si>
    <t xml:space="preserve">D4 RIN — RD</t>
  </si>
  <si>
    <t xml:space="preserve">Revenue Summary (1.5 RIN/gal × ~$1.33)</t>
  </si>
  <si>
    <t xml:space="preserve">D7 RIN — SAF</t>
  </si>
  <si>
    <t xml:space="preserve">Revenue Summary (cellulosic SAF)</t>
  </si>
  <si>
    <t xml:space="preserve">§45Z — RD</t>
  </si>
  <si>
    <t xml:space="preserve">Revenue Summary (at favorable CI)</t>
  </si>
  <si>
    <t xml:space="preserve">§45Z — SAF (enhanced)</t>
  </si>
  <si>
    <t xml:space="preserve">Revenue Summary (enhanced SAF)</t>
  </si>
  <si>
    <t xml:space="preserve">OPERATING COSTS — PRO FORMA OPERATING COSTS TAB (signed)</t>
  </si>
  <si>
    <t xml:space="preserve">Feedstock procurement &amp; logistics</t>
  </si>
  <si>
    <t xml:space="preserve">$/yr</t>
  </si>
  <si>
    <t xml:space="preserve">Operating Costs ($0.20/gal)</t>
  </si>
  <si>
    <t xml:space="preserve">Utilities (net of self-fuel)</t>
  </si>
  <si>
    <t xml:space="preserve">Operating Costs ($0.05/gal)</t>
  </si>
  <si>
    <t xml:space="preserve">Fuel distribution &amp; shipping</t>
  </si>
  <si>
    <t xml:space="preserve">Operating Costs ($0.08/gal)</t>
  </si>
  <si>
    <t xml:space="preserve">Operating labor (4 FTE + 1 manager)</t>
  </si>
  <si>
    <t xml:space="preserve">Operating Costs</t>
  </si>
  <si>
    <t xml:space="preserve">Insurance (GL + property)</t>
  </si>
  <si>
    <t xml:space="preserve">Permit renewals &amp; compliance</t>
  </si>
  <si>
    <t xml:space="preserve">G&amp;A overhead</t>
  </si>
  <si>
    <t xml:space="preserve">CUSTOMER CAPEX + CORRIDOR</t>
  </si>
  <si>
    <t xml:space="preserve">Customer-side capex (site, utilities, permits, WC)</t>
  </si>
  <si>
    <t xml:space="preserve">Capital Investment tab (incl. $102,500 permitting)</t>
  </si>
  <si>
    <t xml:space="preserve">Community profit share</t>
  </si>
  <si>
    <t xml:space="preserve">of net</t>
  </si>
  <si>
    <t xml:space="preserve">Project commitment (EM&amp;S/PL), contractual, locally directed</t>
  </si>
  <si>
    <t xml:space="preserve">Corridor sites</t>
  </si>
  <si>
    <t xml:space="preserve">sites</t>
  </si>
  <si>
    <t xml:space="preserve">Lincoln · Flint · Coleman (Coldwater = Phase 2, excluded)</t>
  </si>
  <si>
    <t xml:space="preserve">Waste diverted per site</t>
  </si>
  <si>
    <t xml:space="preserve">tons/yr</t>
  </si>
  <si>
    <t xml:space="preserve">Project planning assumption (EM&amp;S/PL); confirm w/ operators</t>
  </si>
  <si>
    <t xml:space="preserve">Headcount per site (existing + new)</t>
  </si>
  <si>
    <t xml:space="preserve">FTE</t>
  </si>
  <si>
    <t xml:space="preserve">WASTEWERX COST — PER SITE  (ties to Pro Forma Payment Schedule)</t>
  </si>
  <si>
    <t xml:space="preserve">Year 1 to WasteWerx</t>
  </si>
  <si>
    <t xml:space="preserve">Amount</t>
  </si>
  <si>
    <t xml:space="preserve">Basis</t>
  </si>
  <si>
    <t xml:space="preserve">License fee (Phases 1–4)</t>
  </si>
  <si>
    <t xml:space="preserve">Net of $50K design credit = $5,450,000</t>
  </si>
  <si>
    <t xml:space="preserve">Design fee (credited, shown for completeness)</t>
  </si>
  <si>
    <t xml:space="preserve">Credited into Phase 1; included in Y1 total</t>
  </si>
  <si>
    <t xml:space="preserve">Year 1 monthly fees (Months 8–12)</t>
  </si>
  <si>
    <t xml:space="preserve">$35,000 × 5 months = $175,000</t>
  </si>
  <si>
    <t xml:space="preserve">Year 1 production royalty (Months 9–12)</t>
  </si>
  <si>
    <t xml:space="preserve">Pro Forma Payment Schedule = $995,328</t>
  </si>
  <si>
    <t xml:space="preserve">TOTAL YEAR 1 TO WASTEWERX</t>
  </si>
  <si>
    <t xml:space="preserve">Pro Forma reference: $6,670,328</t>
  </si>
  <si>
    <t xml:space="preserve">Steady-state to WasteWerx (Year 2+)</t>
  </si>
  <si>
    <t xml:space="preserve">Monthly monitoring (12 mo)</t>
  </si>
  <si>
    <t xml:space="preserve">$35,000 × 12 = $420,000</t>
  </si>
  <si>
    <t xml:space="preserve">Production royalty (actual at full production)</t>
  </si>
  <si>
    <t xml:space="preserve">Annual gallons × $0.60 = $2,820,096</t>
  </si>
  <si>
    <t xml:space="preserve">TOTAL STEADY-STATE TO WASTEWERX</t>
  </si>
  <si>
    <t xml:space="preserve">Pro Forma reference: $3,240,096 (greater of actual or MAR)</t>
  </si>
  <si>
    <t xml:space="preserve">REVENUE — RD + SAF  (ties to Pro Forma Revenue Summary)</t>
  </si>
  <si>
    <t xml:space="preserve">Production volumes (steady state)</t>
  </si>
  <si>
    <t xml:space="preserve">Annual</t>
  </si>
  <si>
    <t xml:space="preserve">Renewable Diesel (gal/yr)</t>
  </si>
  <si>
    <t xml:space="preserve">7,056 × 340 = 2,399,040</t>
  </si>
  <si>
    <t xml:space="preserve">SAF / Kerosene (gal/yr)</t>
  </si>
  <si>
    <t xml:space="preserve">6,768 × 340 = 2,301,120</t>
  </si>
  <si>
    <t xml:space="preserve">Total fuel (gal/yr)</t>
  </si>
  <si>
    <t xml:space="preserve">4,700,160</t>
  </si>
  <si>
    <t xml:space="preserve">Revenue streams (steady state)</t>
  </si>
  <si>
    <t xml:space="preserve">RD fuel sales</t>
  </si>
  <si>
    <t xml:space="preserve">$2.00/gal</t>
  </si>
  <si>
    <t xml:space="preserve">SAF fuel sales</t>
  </si>
  <si>
    <t xml:space="preserve">$4.50/gal</t>
  </si>
  <si>
    <t xml:space="preserve">$2.00/gal — Flag 3</t>
  </si>
  <si>
    <t xml:space="preserve">$4.00/gal — Flag 3</t>
  </si>
  <si>
    <t xml:space="preserve">$1.00/gal — Flag 3</t>
  </si>
  <si>
    <t xml:space="preserve">$1.75/gal — Flag 3</t>
  </si>
  <si>
    <t xml:space="preserve">TOTAL ANNUAL REVENUE</t>
  </si>
  <si>
    <t xml:space="preserve">Pro Forma reference: $35,581,680</t>
  </si>
  <si>
    <t xml:space="preserve">Carbon black — UPSIDE (excluded from base)</t>
  </si>
  <si>
    <t xml:space="preserve">PENDING — Flag 1. Not in base revenue.</t>
  </si>
  <si>
    <t xml:space="preserve">PER-SITE P&amp;L — STEADY STATE  (ties to Pro Forma)</t>
  </si>
  <si>
    <t xml:space="preserve">Steady-state P&amp;L</t>
  </si>
  <si>
    <t xml:space="preserve">Source</t>
  </si>
  <si>
    <t xml:space="preserve">Total revenue (fuel + RIN + §45Z)</t>
  </si>
  <si>
    <t xml:space="preserve">Revenue tab — carbon black excluded</t>
  </si>
  <si>
    <t xml:space="preserve">WasteWerx fees (monitoring + royalty)</t>
  </si>
  <si>
    <t xml:space="preserve">$3,240,096</t>
  </si>
  <si>
    <t xml:space="preserve">Pro Forma Operating Costs</t>
  </si>
  <si>
    <t xml:space="preserve">Utilities</t>
  </si>
  <si>
    <t xml:space="preserve">Operating labor (4 FTE + manager)</t>
  </si>
  <si>
    <t xml:space="preserve">Insurance</t>
  </si>
  <si>
    <t xml:space="preserve">STEADY-STATE EBITDA</t>
  </si>
  <si>
    <t xml:space="preserve">Pro Forma reference: $30,200,531</t>
  </si>
  <si>
    <t xml:space="preserve">Community profit share (10% of EBITDA)</t>
  </si>
  <si>
    <t xml:space="preserve">Contractual, locally directed</t>
  </si>
  <si>
    <t xml:space="preserve">Net after community share</t>
  </si>
  <si>
    <t xml:space="preserve">Payback</t>
  </si>
  <si>
    <t xml:space="preserve">Value</t>
  </si>
  <si>
    <t xml:space="preserve">Year 1 cash out (WasteWerx Y1 + customer capex)</t>
  </si>
  <si>
    <t xml:space="preserve">Pro Forma reference: $7,622,828</t>
  </si>
  <si>
    <t xml:space="preserve">Steady-state EBITDA</t>
  </si>
  <si>
    <t xml:space="preserve">From P&amp;L above</t>
  </si>
  <si>
    <t xml:space="preserve">Simple payback (years)</t>
  </si>
  <si>
    <t xml:space="preserve">Pro Forma reference: 0.25 yr</t>
  </si>
  <si>
    <t xml:space="preserve">CORRIDOR ROLLUP — LINCOLN · FLINT · COLEMAN</t>
  </si>
  <si>
    <t xml:space="preserve">Metric</t>
  </si>
  <si>
    <t xml:space="preserve">Per site</t>
  </si>
  <si>
    <t xml:space="preserve">Lincoln</t>
  </si>
  <si>
    <t xml:space="preserve">Flint</t>
  </si>
  <si>
    <t xml:space="preserve">Coleman</t>
  </si>
  <si>
    <t xml:space="preserve">Steady-state revenue</t>
  </si>
  <si>
    <t xml:space="preserve">Year 1 cash out</t>
  </si>
  <si>
    <t xml:space="preserve">Waste diverted (tons/yr)</t>
  </si>
  <si>
    <t xml:space="preserve">Headcount (FTE)</t>
  </si>
  <si>
    <t xml:space="preserve">Corridor totals (x3)</t>
  </si>
  <si>
    <t xml:space="preserve">Total steady-state revenue</t>
  </si>
  <si>
    <t xml:space="preserve">Total steady-state EBITDA</t>
  </si>
  <si>
    <t xml:space="preserve">Total community profit share</t>
  </si>
  <si>
    <t xml:space="preserve">Total Year 1 cash out</t>
  </si>
  <si>
    <t xml:space="preserve">Total waste diverted (tons/yr)</t>
  </si>
  <si>
    <t xml:space="preserve">Corridor narrative: 45,000 tons</t>
  </si>
  <si>
    <t xml:space="preserve">Total headcount (FTE)</t>
  </si>
  <si>
    <t xml:space="preserve">Corridor narrative: 90 jobs</t>
  </si>
  <si>
    <t xml:space="preserve">OPEN ITEMS — COMMERCIAL, NOT MODELING</t>
  </si>
  <si>
    <t xml:space="preserve">#</t>
  </si>
  <si>
    <t xml:space="preserve">Item</t>
  </si>
  <si>
    <t xml:space="preserve">Resolution</t>
  </si>
  <si>
    <t xml:space="preserve">1</t>
  </si>
  <si>
    <t xml:space="preserve">Carbon black not in base revenue</t>
  </si>
  <si>
    <t xml:space="preserve">Confirm grade and contracted price (WasteWerx / Carbon Alliance). Upside line only until then. The Feedstock Yield Model rates tires at 32% carbon co-product, graphene-precursor grade — real, but uncontracted.</t>
  </si>
  <si>
    <t xml:space="preserve">PENDING</t>
  </si>
  <si>
    <t xml:space="preserve">2</t>
  </si>
  <si>
    <t xml:space="preserve">License not depreciable</t>
  </si>
  <si>
    <t xml:space="preserve">Title stays with WasteWerx; no transfer on dissolution. Tax/balance-sheet treatment differs from owned equipment. Brief Walton before investor numbers.</t>
  </si>
  <si>
    <t xml:space="preserve">BRIEF</t>
  </si>
  <si>
    <t xml:space="preserve">3</t>
  </si>
  <si>
    <t xml:space="preserve">RFS / §45Z qualification</t>
  </si>
  <si>
    <t xml:space="preserve">Revenue assumes qualifying RFS producer status and favorable §45Z CI. RINs + §45Z are ~$24.8M of the $35.6M. Phase 1 workstream — material if delayed.</t>
  </si>
  <si>
    <t xml:space="preserve">PHASE 1</t>
  </si>
  <si>
    <t xml:space="preserve">4</t>
  </si>
  <si>
    <t xml:space="preserve">Year 1 phasing modeled from Pro Forma</t>
  </si>
  <si>
    <t xml:space="preserve">v1 stacked all milestones + 9mo monitoring. Now modeled per Payment Schedule (monthly Month 8, royalty Month 9). Ties to $6,670,328.</t>
  </si>
  <si>
    <t xml:space="preserve">CLOSED</t>
  </si>
  <si>
    <t xml:space="preserve">RECONCILIATION — MODEL vs EXECUTED PRO FORMA</t>
  </si>
  <si>
    <t xml:space="preserve">Line</t>
  </si>
  <si>
    <t xml:space="preserve">This model</t>
  </si>
  <si>
    <t xml:space="preserve">Pro Forma (signed)</t>
  </si>
  <si>
    <t xml:space="preserve">Delta</t>
  </si>
  <si>
    <t xml:space="preserve">Year 1 total cash out</t>
  </si>
  <si>
    <t xml:space="preserve">Simple payback (yr)</t>
  </si>
  <si>
    <t xml:space="preserve">Deltas are zero by construction — every figure is a signed-document value or a formula over</t>
  </si>
  <si>
    <t xml:space="preserve">signed inputs. v1's calibration is gone. This is the diligence-grade reconciliation.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</si>
</sst>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"/>
    <numFmt numFmtId="167" formatCode="\$0.00"/>
    <numFmt numFmtId="168" formatCode="#,##0"/>
    <numFmt numFmtId="169" formatCode="0%"/>
    <numFmt numFmtId="170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453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453E"/>
      <name val="Arial"/>
      <family val="0"/>
      <charset val="1"/>
    </font>
    <font>
      <b val="true"/>
      <sz val="9"/>
      <color rgb="FF00453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B2C2C"/>
      <name val="Arial"/>
      <family val="0"/>
      <charset val="1"/>
    </font>
    <font>
      <b val="true"/>
      <sz val="9"/>
      <color rgb="FF1F7A1F"/>
      <name val="Arial"/>
      <family val="0"/>
      <charset val="1"/>
    </font>
    <font>
      <i val="true"/>
      <sz val="9"/>
      <color rgb="FF65736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5736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453E"/>
        <bgColor rgb="FF003300"/>
      </patternFill>
    </fill>
    <fill>
      <patternFill patternType="solid">
        <fgColor rgb="FFE7F1EE"/>
        <bgColor rgb="FFE4F2E4"/>
      </patternFill>
    </fill>
    <fill>
      <patternFill patternType="solid">
        <fgColor rgb="FFFBE4E4"/>
        <bgColor rgb="FFFFF4D6"/>
      </patternFill>
    </fill>
    <fill>
      <patternFill patternType="solid">
        <fgColor rgb="FFE4F2E4"/>
        <bgColor rgb="FFE7F1EE"/>
      </patternFill>
    </fill>
    <fill>
      <patternFill patternType="solid">
        <fgColor rgb="FFFFF4D6"/>
        <bgColor rgb="FFFB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2CF"/>
      </left>
      <right style="thin">
        <color rgb="FFC8D2CF"/>
      </right>
      <top style="thin">
        <color rgb="FFC8D2CF"/>
      </top>
      <bottom style="thin">
        <color rgb="FFC8D2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2CF"/>
      <rgbColor rgb="FF808080"/>
      <rgbColor rgb="FF9999FF"/>
      <rgbColor rgb="FF993366"/>
      <rgbColor rgb="FFFFF4D6"/>
      <rgbColor rgb="FFE7F1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2E4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5736F"/>
      <rgbColor rgb="FF969696"/>
      <rgbColor rgb="FF00453E"/>
      <rgbColor rgb="FF1F7A1F"/>
      <rgbColor rgb="FF003300"/>
      <rgbColor rgb="FF333300"/>
      <rgbColor rgb="FF9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6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/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4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/>
    </row>
    <row r="12" customFormat="false" ht="15" hidden="false" customHeight="true" outlineLevel="0" collapsed="false">
      <c r="B12" s="3" t="s">
        <v>7</v>
      </c>
    </row>
    <row r="13" customFormat="false" ht="15" hidden="false" customHeight="true" outlineLevel="0" collapsed="false">
      <c r="B13" s="4" t="s">
        <v>8</v>
      </c>
    </row>
    <row r="14" customFormat="false" ht="15" hidden="false" customHeight="true" outlineLevel="0" collapsed="false">
      <c r="B14" s="4"/>
    </row>
    <row r="15" customFormat="false" ht="15" hidden="false" customHeight="true" outlineLevel="0" collapsed="false">
      <c r="B15" s="3" t="s">
        <v>9</v>
      </c>
    </row>
    <row r="16" customFormat="false" ht="15" hidden="false" customHeight="true" outlineLevel="0" collapsed="false">
      <c r="B16" s="4" t="s">
        <v>10</v>
      </c>
    </row>
    <row r="17" customFormat="false" ht="15" hidden="false" customHeight="true" outlineLevel="0" collapsed="false">
      <c r="B17" s="4" t="s">
        <v>11</v>
      </c>
    </row>
    <row r="18" customFormat="false" ht="15" hidden="false" customHeight="true" outlineLevel="0" collapsed="false">
      <c r="B18" s="4"/>
    </row>
    <row r="19" customFormat="false" ht="15" hidden="false" customHeight="true" outlineLevel="0" collapsed="false">
      <c r="B19" s="3" t="s">
        <v>12</v>
      </c>
    </row>
    <row r="20" customFormat="false" ht="15" hidden="false" customHeight="true" outlineLevel="0" collapsed="false">
      <c r="B20" s="4" t="s">
        <v>13</v>
      </c>
    </row>
    <row r="21" customFormat="false" ht="15" hidden="false" customHeight="true" outlineLevel="0" collapsed="false">
      <c r="B21" s="4"/>
    </row>
    <row r="22" customFormat="false" ht="15" hidden="false" customHeight="true" outlineLevel="0" collapsed="false">
      <c r="B22" s="3" t="s">
        <v>14</v>
      </c>
    </row>
    <row r="23" customFormat="false" ht="15" hidden="false" customHeight="true" outlineLevel="0" collapsed="false">
      <c r="B23" s="4" t="s">
        <v>15</v>
      </c>
    </row>
    <row r="24" customFormat="false" ht="15" hidden="false" customHeight="true" outlineLevel="0" collapsed="false">
      <c r="B24" s="4"/>
    </row>
    <row r="25" customFormat="false" ht="15" hidden="false" customHeight="true" outlineLevel="0" collapsed="false">
      <c r="B25" s="3" t="s">
        <v>16</v>
      </c>
    </row>
    <row r="26" customFormat="false" ht="15" hidden="false" customHeight="true" outlineLevel="0" collapsed="false">
      <c r="B26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0"/>
  </cols>
  <sheetData>
    <row r="2" customFormat="false" ht="17.35" hidden="false" customHeight="false" outlineLevel="0" collapsed="false">
      <c r="B2" s="5" t="s">
        <v>18</v>
      </c>
      <c r="C2" s="5"/>
      <c r="D2" s="5"/>
      <c r="E2" s="5"/>
      <c r="F2" s="5"/>
    </row>
    <row r="4" customFormat="false" ht="15" hidden="false" customHeight="false" outlineLevel="0" collapsed="false">
      <c r="B4" s="6" t="s">
        <v>19</v>
      </c>
      <c r="C4" s="7"/>
      <c r="D4" s="7"/>
      <c r="E4" s="7"/>
      <c r="F4" s="7"/>
    </row>
    <row r="5" customFormat="false" ht="21.75" hidden="false" customHeight="true" outlineLevel="0" collapsed="false">
      <c r="B5" s="8" t="s">
        <v>20</v>
      </c>
      <c r="C5" s="9" t="s">
        <v>21</v>
      </c>
      <c r="D5" s="9"/>
      <c r="E5" s="9"/>
      <c r="F5" s="9"/>
    </row>
    <row r="6" customFormat="false" ht="21.75" hidden="false" customHeight="true" outlineLevel="0" collapsed="false">
      <c r="B6" s="8" t="s">
        <v>22</v>
      </c>
      <c r="C6" s="9" t="s">
        <v>23</v>
      </c>
      <c r="D6" s="9"/>
      <c r="E6" s="9"/>
      <c r="F6" s="9"/>
    </row>
    <row r="7" customFormat="false" ht="21.75" hidden="false" customHeight="true" outlineLevel="0" collapsed="false">
      <c r="B7" s="8" t="s">
        <v>24</v>
      </c>
      <c r="C7" s="9" t="s">
        <v>25</v>
      </c>
      <c r="D7" s="9"/>
      <c r="E7" s="9"/>
      <c r="F7" s="9"/>
    </row>
    <row r="8" customFormat="false" ht="21.75" hidden="false" customHeight="true" outlineLevel="0" collapsed="false">
      <c r="B8" s="8" t="s">
        <v>26</v>
      </c>
      <c r="C8" s="9" t="s">
        <v>27</v>
      </c>
      <c r="D8" s="9"/>
      <c r="E8" s="9"/>
      <c r="F8" s="9"/>
    </row>
    <row r="9" customFormat="false" ht="21.75" hidden="false" customHeight="true" outlineLevel="0" collapsed="false">
      <c r="B9" s="8" t="s">
        <v>28</v>
      </c>
      <c r="C9" s="9" t="s">
        <v>29</v>
      </c>
      <c r="D9" s="9"/>
      <c r="E9" s="9"/>
      <c r="F9" s="9"/>
    </row>
    <row r="10" customFormat="false" ht="21.75" hidden="false" customHeight="true" outlineLevel="0" collapsed="false">
      <c r="B10" s="8" t="s">
        <v>30</v>
      </c>
      <c r="C10" s="9" t="s">
        <v>31</v>
      </c>
      <c r="D10" s="9"/>
      <c r="E10" s="9"/>
      <c r="F10" s="9"/>
    </row>
    <row r="11" customFormat="false" ht="21.75" hidden="false" customHeight="true" outlineLevel="0" collapsed="false">
      <c r="B11" s="8" t="s">
        <v>32</v>
      </c>
      <c r="C11" s="9" t="s">
        <v>33</v>
      </c>
      <c r="D11" s="9"/>
      <c r="E11" s="9"/>
      <c r="F11" s="9"/>
    </row>
    <row r="12" customFormat="false" ht="21.75" hidden="false" customHeight="true" outlineLevel="0" collapsed="false">
      <c r="B12" s="8" t="s">
        <v>34</v>
      </c>
      <c r="C12" s="9" t="s">
        <v>35</v>
      </c>
      <c r="D12" s="9"/>
      <c r="E12" s="9"/>
      <c r="F12" s="9"/>
    </row>
    <row r="14" customFormat="false" ht="15" hidden="false" customHeight="false" outlineLevel="0" collapsed="false">
      <c r="B14" s="6" t="s">
        <v>36</v>
      </c>
      <c r="C14" s="7"/>
      <c r="D14" s="7"/>
      <c r="E14" s="7"/>
      <c r="F14" s="7"/>
    </row>
    <row r="15" customFormat="false" ht="15" hidden="false" customHeight="false" outlineLevel="0" collapsed="false">
      <c r="B15" s="10" t="s">
        <v>22</v>
      </c>
      <c r="C15" s="10" t="s">
        <v>37</v>
      </c>
      <c r="D15" s="10" t="s">
        <v>38</v>
      </c>
      <c r="E15" s="10"/>
      <c r="F15" s="10"/>
    </row>
    <row r="16" customFormat="false" ht="43.5" hidden="false" customHeight="true" outlineLevel="0" collapsed="false">
      <c r="B16" s="9" t="s">
        <v>39</v>
      </c>
      <c r="C16" s="9" t="s">
        <v>40</v>
      </c>
      <c r="D16" s="9" t="s">
        <v>41</v>
      </c>
      <c r="E16" s="9"/>
      <c r="F16" s="9"/>
    </row>
    <row r="17" customFormat="false" ht="43.5" hidden="false" customHeight="true" outlineLevel="0" collapsed="false">
      <c r="B17" s="9" t="s">
        <v>42</v>
      </c>
      <c r="C17" s="9" t="s">
        <v>40</v>
      </c>
      <c r="D17" s="9" t="s">
        <v>43</v>
      </c>
      <c r="E17" s="9"/>
      <c r="F17" s="9"/>
    </row>
    <row r="19" customFormat="false" ht="15" hidden="false" customHeight="false" outlineLevel="0" collapsed="false">
      <c r="B19" s="6" t="s">
        <v>44</v>
      </c>
      <c r="C19" s="7"/>
      <c r="D19" s="7"/>
      <c r="E19" s="7"/>
      <c r="F19" s="7"/>
    </row>
    <row r="20" customFormat="false" ht="15" hidden="false" customHeight="false" outlineLevel="0" collapsed="false">
      <c r="B20" s="10" t="s">
        <v>45</v>
      </c>
      <c r="C20" s="10" t="s">
        <v>46</v>
      </c>
      <c r="D20" s="10" t="s">
        <v>47</v>
      </c>
      <c r="E20" s="10"/>
      <c r="F20" s="10"/>
    </row>
    <row r="21" customFormat="false" ht="24" hidden="false" customHeight="true" outlineLevel="0" collapsed="false">
      <c r="B21" s="9" t="s">
        <v>48</v>
      </c>
      <c r="C21" s="9" t="s">
        <v>49</v>
      </c>
      <c r="D21" s="11" t="s">
        <v>50</v>
      </c>
      <c r="E21" s="11"/>
      <c r="F21" s="11"/>
    </row>
    <row r="22" customFormat="false" ht="24" hidden="false" customHeight="true" outlineLevel="0" collapsed="false">
      <c r="B22" s="9" t="s">
        <v>51</v>
      </c>
      <c r="C22" s="9" t="s">
        <v>52</v>
      </c>
      <c r="D22" s="11" t="s">
        <v>53</v>
      </c>
      <c r="E22" s="11"/>
      <c r="F22" s="11"/>
    </row>
    <row r="23" customFormat="false" ht="24" hidden="false" customHeight="true" outlineLevel="0" collapsed="false">
      <c r="B23" s="9" t="s">
        <v>54</v>
      </c>
      <c r="C23" s="9" t="s">
        <v>55</v>
      </c>
      <c r="D23" s="12" t="s">
        <v>56</v>
      </c>
      <c r="E23" s="12"/>
      <c r="F23" s="12"/>
    </row>
    <row r="24" customFormat="false" ht="24" hidden="false" customHeight="true" outlineLevel="0" collapsed="false">
      <c r="B24" s="9" t="s">
        <v>57</v>
      </c>
      <c r="C24" s="9" t="s">
        <v>58</v>
      </c>
      <c r="D24" s="12" t="s">
        <v>59</v>
      </c>
      <c r="E24" s="12"/>
      <c r="F24" s="12"/>
    </row>
    <row r="25" customFormat="false" ht="24" hidden="false" customHeight="true" outlineLevel="0" collapsed="false">
      <c r="B25" s="9" t="s">
        <v>60</v>
      </c>
      <c r="C25" s="9" t="s">
        <v>61</v>
      </c>
      <c r="D25" s="11" t="s">
        <v>62</v>
      </c>
      <c r="E25" s="11"/>
      <c r="F25" s="11"/>
    </row>
    <row r="28" customFormat="false" ht="15" hidden="false" customHeight="false" outlineLevel="0" collapsed="false">
      <c r="B28" s="13" t="s">
        <v>63</v>
      </c>
      <c r="C28" s="13"/>
      <c r="D28" s="13"/>
      <c r="E28" s="13"/>
      <c r="F28" s="13"/>
    </row>
  </sheetData>
  <mergeCells count="19">
    <mergeCell ref="B2:F2"/>
    <mergeCell ref="C5:F5"/>
    <mergeCell ref="C6:F6"/>
    <mergeCell ref="C7:F7"/>
    <mergeCell ref="C8:F8"/>
    <mergeCell ref="C9:F9"/>
    <mergeCell ref="C10:F10"/>
    <mergeCell ref="C11:F11"/>
    <mergeCell ref="C12:F12"/>
    <mergeCell ref="D15:F15"/>
    <mergeCell ref="D16:F16"/>
    <mergeCell ref="D17:F17"/>
    <mergeCell ref="D20:F20"/>
    <mergeCell ref="D21:F21"/>
    <mergeCell ref="D22:F22"/>
    <mergeCell ref="D23:F23"/>
    <mergeCell ref="D24:F24"/>
    <mergeCell ref="D25:F25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60"/>
  </cols>
  <sheetData>
    <row r="2" customFormat="false" ht="17.25" hidden="false" customHeight="true" outlineLevel="0" collapsed="false">
      <c r="B2" s="5" t="s">
        <v>64</v>
      </c>
      <c r="C2" s="5"/>
      <c r="D2" s="5"/>
      <c r="E2" s="5"/>
    </row>
    <row r="4" customFormat="false" ht="15" hidden="false" customHeight="true" outlineLevel="0" collapsed="false">
      <c r="B4" s="14" t="s">
        <v>65</v>
      </c>
      <c r="C4" s="15"/>
      <c r="D4" s="15"/>
      <c r="E4" s="15"/>
    </row>
    <row r="5" customFormat="false" ht="15" hidden="false" customHeight="true" outlineLevel="0" collapsed="false">
      <c r="B5" s="16" t="s">
        <v>66</v>
      </c>
      <c r="C5" s="17" t="n">
        <v>50000</v>
      </c>
      <c r="D5" s="16" t="s">
        <v>67</v>
      </c>
      <c r="E5" s="18" t="s">
        <v>68</v>
      </c>
    </row>
    <row r="6" customFormat="false" ht="15" hidden="false" customHeight="true" outlineLevel="0" collapsed="false">
      <c r="B6" s="16" t="s">
        <v>69</v>
      </c>
      <c r="C6" s="17" t="n">
        <v>2700000</v>
      </c>
      <c r="D6" s="16" t="s">
        <v>67</v>
      </c>
      <c r="E6" s="18" t="s">
        <v>70</v>
      </c>
    </row>
    <row r="7" customFormat="false" ht="15" hidden="false" customHeight="true" outlineLevel="0" collapsed="false">
      <c r="B7" s="16" t="s">
        <v>71</v>
      </c>
      <c r="C7" s="17" t="n">
        <v>1375000</v>
      </c>
      <c r="D7" s="16" t="s">
        <v>67</v>
      </c>
      <c r="E7" s="18" t="s">
        <v>72</v>
      </c>
    </row>
    <row r="8" customFormat="false" ht="15" hidden="false" customHeight="true" outlineLevel="0" collapsed="false">
      <c r="B8" s="16" t="s">
        <v>73</v>
      </c>
      <c r="C8" s="17" t="n">
        <v>825000</v>
      </c>
      <c r="D8" s="16" t="s">
        <v>67</v>
      </c>
      <c r="E8" s="18" t="s">
        <v>74</v>
      </c>
    </row>
    <row r="9" customFormat="false" ht="15" hidden="false" customHeight="true" outlineLevel="0" collapsed="false">
      <c r="B9" s="16" t="s">
        <v>75</v>
      </c>
      <c r="C9" s="17" t="n">
        <v>550000</v>
      </c>
      <c r="D9" s="16" t="s">
        <v>67</v>
      </c>
      <c r="E9" s="18" t="s">
        <v>76</v>
      </c>
    </row>
    <row r="10" customFormat="false" ht="15" hidden="false" customHeight="true" outlineLevel="0" collapsed="false">
      <c r="B10" s="16" t="s">
        <v>77</v>
      </c>
      <c r="C10" s="17" t="n">
        <v>35000</v>
      </c>
      <c r="D10" s="16" t="s">
        <v>78</v>
      </c>
      <c r="E10" s="18" t="s">
        <v>79</v>
      </c>
    </row>
    <row r="11" customFormat="false" ht="15" hidden="false" customHeight="true" outlineLevel="0" collapsed="false">
      <c r="B11" s="16" t="s">
        <v>80</v>
      </c>
      <c r="C11" s="19" t="n">
        <v>5</v>
      </c>
      <c r="D11" s="16" t="s">
        <v>81</v>
      </c>
      <c r="E11" s="18" t="s">
        <v>82</v>
      </c>
    </row>
    <row r="12" customFormat="false" ht="15" hidden="false" customHeight="true" outlineLevel="0" collapsed="false">
      <c r="B12" s="16" t="s">
        <v>83</v>
      </c>
      <c r="C12" s="20" t="n">
        <v>0.6</v>
      </c>
      <c r="D12" s="16" t="s">
        <v>84</v>
      </c>
      <c r="E12" s="18" t="s">
        <v>85</v>
      </c>
    </row>
    <row r="13" customFormat="false" ht="15" hidden="false" customHeight="true" outlineLevel="0" collapsed="false">
      <c r="B13" s="16" t="s">
        <v>86</v>
      </c>
      <c r="C13" s="17" t="n">
        <v>995328</v>
      </c>
      <c r="D13" s="16" t="s">
        <v>67</v>
      </c>
      <c r="E13" s="18" t="s">
        <v>87</v>
      </c>
    </row>
    <row r="14" customFormat="false" ht="15" hidden="false" customHeight="true" outlineLevel="0" collapsed="false">
      <c r="B14" s="14" t="s">
        <v>88</v>
      </c>
      <c r="C14" s="15"/>
      <c r="D14" s="15"/>
      <c r="E14" s="15"/>
    </row>
    <row r="15" customFormat="false" ht="15" hidden="false" customHeight="true" outlineLevel="0" collapsed="false">
      <c r="B15" s="16" t="s">
        <v>89</v>
      </c>
      <c r="C15" s="21" t="n">
        <v>13824</v>
      </c>
      <c r="D15" s="16" t="s">
        <v>90</v>
      </c>
      <c r="E15" s="18" t="s">
        <v>91</v>
      </c>
    </row>
    <row r="16" customFormat="false" ht="15" hidden="false" customHeight="true" outlineLevel="0" collapsed="false">
      <c r="B16" s="16" t="s">
        <v>92</v>
      </c>
      <c r="C16" s="21" t="n">
        <v>340</v>
      </c>
      <c r="D16" s="16" t="s">
        <v>93</v>
      </c>
      <c r="E16" s="18" t="s">
        <v>94</v>
      </c>
    </row>
    <row r="17" customFormat="false" ht="15" hidden="false" customHeight="true" outlineLevel="0" collapsed="false">
      <c r="B17" s="16" t="s">
        <v>95</v>
      </c>
      <c r="C17" s="21" t="n">
        <v>7056</v>
      </c>
      <c r="D17" s="16" t="s">
        <v>90</v>
      </c>
      <c r="E17" s="18" t="s">
        <v>96</v>
      </c>
    </row>
    <row r="18" customFormat="false" ht="15" hidden="false" customHeight="true" outlineLevel="0" collapsed="false">
      <c r="B18" s="16" t="s">
        <v>97</v>
      </c>
      <c r="C18" s="21" t="n">
        <v>6768</v>
      </c>
      <c r="D18" s="16" t="s">
        <v>90</v>
      </c>
      <c r="E18" s="18" t="s">
        <v>96</v>
      </c>
    </row>
    <row r="19" customFormat="false" ht="15" hidden="false" customHeight="true" outlineLevel="0" collapsed="false">
      <c r="B19" s="14" t="s">
        <v>98</v>
      </c>
      <c r="C19" s="15"/>
      <c r="D19" s="15"/>
      <c r="E19" s="15"/>
    </row>
    <row r="20" customFormat="false" ht="15" hidden="false" customHeight="true" outlineLevel="0" collapsed="false">
      <c r="B20" s="16" t="s">
        <v>99</v>
      </c>
      <c r="C20" s="20" t="n">
        <v>2</v>
      </c>
      <c r="D20" s="16" t="s">
        <v>84</v>
      </c>
      <c r="E20" s="18" t="s">
        <v>96</v>
      </c>
    </row>
    <row r="21" customFormat="false" ht="15" hidden="false" customHeight="true" outlineLevel="0" collapsed="false">
      <c r="B21" s="16" t="s">
        <v>100</v>
      </c>
      <c r="C21" s="20" t="n">
        <v>4.5</v>
      </c>
      <c r="D21" s="16" t="s">
        <v>84</v>
      </c>
      <c r="E21" s="18" t="s">
        <v>96</v>
      </c>
    </row>
    <row r="22" customFormat="false" ht="15" hidden="false" customHeight="true" outlineLevel="0" collapsed="false">
      <c r="B22" s="16" t="s">
        <v>101</v>
      </c>
      <c r="C22" s="20" t="n">
        <v>2</v>
      </c>
      <c r="D22" s="16" t="s">
        <v>84</v>
      </c>
      <c r="E22" s="18" t="s">
        <v>102</v>
      </c>
    </row>
    <row r="23" customFormat="false" ht="15" hidden="false" customHeight="true" outlineLevel="0" collapsed="false">
      <c r="B23" s="16" t="s">
        <v>103</v>
      </c>
      <c r="C23" s="20" t="n">
        <v>4</v>
      </c>
      <c r="D23" s="16" t="s">
        <v>84</v>
      </c>
      <c r="E23" s="18" t="s">
        <v>104</v>
      </c>
    </row>
    <row r="24" customFormat="false" ht="15" hidden="false" customHeight="true" outlineLevel="0" collapsed="false">
      <c r="B24" s="16" t="s">
        <v>105</v>
      </c>
      <c r="C24" s="20" t="n">
        <v>1</v>
      </c>
      <c r="D24" s="16" t="s">
        <v>84</v>
      </c>
      <c r="E24" s="18" t="s">
        <v>106</v>
      </c>
    </row>
    <row r="25" customFormat="false" ht="15" hidden="false" customHeight="true" outlineLevel="0" collapsed="false">
      <c r="B25" s="16" t="s">
        <v>107</v>
      </c>
      <c r="C25" s="20" t="n">
        <v>1.75</v>
      </c>
      <c r="D25" s="16" t="s">
        <v>84</v>
      </c>
      <c r="E25" s="18" t="s">
        <v>108</v>
      </c>
    </row>
    <row r="26" customFormat="false" ht="15" hidden="false" customHeight="true" outlineLevel="0" collapsed="false">
      <c r="B26" s="14" t="s">
        <v>109</v>
      </c>
      <c r="C26" s="15"/>
      <c r="D26" s="15"/>
      <c r="E26" s="15"/>
    </row>
    <row r="27" customFormat="false" ht="15" hidden="false" customHeight="true" outlineLevel="0" collapsed="false">
      <c r="B27" s="16" t="s">
        <v>110</v>
      </c>
      <c r="C27" s="17" t="n">
        <v>940032</v>
      </c>
      <c r="D27" s="16" t="s">
        <v>111</v>
      </c>
      <c r="E27" s="18" t="s">
        <v>112</v>
      </c>
    </row>
    <row r="28" customFormat="false" ht="15" hidden="false" customHeight="true" outlineLevel="0" collapsed="false">
      <c r="B28" s="16" t="s">
        <v>113</v>
      </c>
      <c r="C28" s="17" t="n">
        <v>235008</v>
      </c>
      <c r="D28" s="16" t="s">
        <v>111</v>
      </c>
      <c r="E28" s="18" t="s">
        <v>114</v>
      </c>
    </row>
    <row r="29" customFormat="false" ht="15" hidden="false" customHeight="true" outlineLevel="0" collapsed="false">
      <c r="B29" s="16" t="s">
        <v>115</v>
      </c>
      <c r="C29" s="17" t="n">
        <v>376013</v>
      </c>
      <c r="D29" s="16" t="s">
        <v>111</v>
      </c>
      <c r="E29" s="18" t="s">
        <v>116</v>
      </c>
    </row>
    <row r="30" customFormat="false" ht="15" hidden="false" customHeight="true" outlineLevel="0" collapsed="false">
      <c r="B30" s="16" t="s">
        <v>117</v>
      </c>
      <c r="C30" s="17" t="n">
        <v>425000</v>
      </c>
      <c r="D30" s="16" t="s">
        <v>111</v>
      </c>
      <c r="E30" s="18" t="s">
        <v>118</v>
      </c>
    </row>
    <row r="31" customFormat="false" ht="15" hidden="false" customHeight="true" outlineLevel="0" collapsed="false">
      <c r="B31" s="16" t="s">
        <v>119</v>
      </c>
      <c r="C31" s="17" t="n">
        <v>65000</v>
      </c>
      <c r="D31" s="16" t="s">
        <v>111</v>
      </c>
      <c r="E31" s="18" t="s">
        <v>118</v>
      </c>
    </row>
    <row r="32" customFormat="false" ht="15" hidden="false" customHeight="true" outlineLevel="0" collapsed="false">
      <c r="B32" s="16" t="s">
        <v>120</v>
      </c>
      <c r="C32" s="17" t="n">
        <v>25000</v>
      </c>
      <c r="D32" s="16" t="s">
        <v>111</v>
      </c>
      <c r="E32" s="18" t="s">
        <v>118</v>
      </c>
    </row>
    <row r="33" customFormat="false" ht="15" hidden="false" customHeight="true" outlineLevel="0" collapsed="false">
      <c r="B33" s="16" t="s">
        <v>121</v>
      </c>
      <c r="C33" s="17" t="n">
        <v>75000</v>
      </c>
      <c r="D33" s="16" t="s">
        <v>111</v>
      </c>
      <c r="E33" s="18" t="s">
        <v>118</v>
      </c>
    </row>
    <row r="34" customFormat="false" ht="15" hidden="false" customHeight="true" outlineLevel="0" collapsed="false">
      <c r="B34" s="14" t="s">
        <v>122</v>
      </c>
      <c r="C34" s="15"/>
      <c r="D34" s="15"/>
      <c r="E34" s="15"/>
    </row>
    <row r="35" customFormat="false" ht="15" hidden="false" customHeight="true" outlineLevel="0" collapsed="false">
      <c r="B35" s="16" t="s">
        <v>123</v>
      </c>
      <c r="C35" s="17" t="n">
        <v>952500</v>
      </c>
      <c r="D35" s="16" t="s">
        <v>67</v>
      </c>
      <c r="E35" s="18" t="s">
        <v>124</v>
      </c>
    </row>
    <row r="36" customFormat="false" ht="15" hidden="false" customHeight="true" outlineLevel="0" collapsed="false">
      <c r="B36" s="16" t="s">
        <v>125</v>
      </c>
      <c r="C36" s="22" t="n">
        <v>0.1</v>
      </c>
      <c r="D36" s="16" t="s">
        <v>126</v>
      </c>
      <c r="E36" s="18" t="s">
        <v>127</v>
      </c>
    </row>
    <row r="37" customFormat="false" ht="15" hidden="false" customHeight="true" outlineLevel="0" collapsed="false">
      <c r="B37" s="16" t="s">
        <v>128</v>
      </c>
      <c r="C37" s="19" t="n">
        <v>3</v>
      </c>
      <c r="D37" s="16" t="s">
        <v>129</v>
      </c>
      <c r="E37" s="18" t="s">
        <v>130</v>
      </c>
    </row>
    <row r="38" customFormat="false" ht="15" hidden="false" customHeight="true" outlineLevel="0" collapsed="false">
      <c r="B38" s="16" t="s">
        <v>131</v>
      </c>
      <c r="C38" s="21" t="n">
        <v>15000</v>
      </c>
      <c r="D38" s="16" t="s">
        <v>132</v>
      </c>
      <c r="E38" s="18" t="s">
        <v>133</v>
      </c>
    </row>
    <row r="39" customFormat="false" ht="15" hidden="false" customHeight="true" outlineLevel="0" collapsed="false">
      <c r="B39" s="16" t="s">
        <v>134</v>
      </c>
      <c r="C39" s="21" t="n">
        <v>30</v>
      </c>
      <c r="D39" s="16" t="s">
        <v>135</v>
      </c>
      <c r="E39" s="18" t="s">
        <v>133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52"/>
  </cols>
  <sheetData>
    <row r="2" customFormat="false" ht="17.25" hidden="false" customHeight="true" outlineLevel="0" collapsed="false">
      <c r="B2" s="5" t="s">
        <v>136</v>
      </c>
      <c r="C2" s="5"/>
      <c r="D2" s="5"/>
    </row>
    <row r="4" customFormat="false" ht="15" hidden="false" customHeight="true" outlineLevel="0" collapsed="false">
      <c r="B4" s="14" t="s">
        <v>137</v>
      </c>
      <c r="C4" s="23" t="s">
        <v>138</v>
      </c>
      <c r="D4" s="23" t="s">
        <v>139</v>
      </c>
    </row>
    <row r="5" customFormat="false" ht="15" hidden="false" customHeight="true" outlineLevel="0" collapsed="false">
      <c r="B5" s="16" t="s">
        <v>140</v>
      </c>
      <c r="C5" s="24" t="n">
        <f aca="false">Assumptions!C6+Assumptions!C7+Assumptions!C8+Assumptions!C9</f>
        <v>5450000</v>
      </c>
      <c r="D5" s="18" t="s">
        <v>141</v>
      </c>
    </row>
    <row r="6" customFormat="false" ht="15" hidden="false" customHeight="true" outlineLevel="0" collapsed="false">
      <c r="B6" s="16" t="s">
        <v>142</v>
      </c>
      <c r="C6" s="24" t="n">
        <f aca="false">Assumptions!C5</f>
        <v>50000</v>
      </c>
      <c r="D6" s="18" t="s">
        <v>143</v>
      </c>
    </row>
    <row r="7" customFormat="false" ht="15" hidden="false" customHeight="true" outlineLevel="0" collapsed="false">
      <c r="B7" s="16" t="s">
        <v>144</v>
      </c>
      <c r="C7" s="24" t="n">
        <f aca="false">Assumptions!C10*Assumptions!C11</f>
        <v>175000</v>
      </c>
      <c r="D7" s="18" t="s">
        <v>145</v>
      </c>
    </row>
    <row r="8" customFormat="false" ht="15" hidden="false" customHeight="true" outlineLevel="0" collapsed="false">
      <c r="B8" s="16" t="s">
        <v>146</v>
      </c>
      <c r="C8" s="24" t="n">
        <f aca="false">Assumptions!C13</f>
        <v>995328</v>
      </c>
      <c r="D8" s="18" t="s">
        <v>147</v>
      </c>
    </row>
    <row r="9" customFormat="false" ht="15" hidden="false" customHeight="true" outlineLevel="0" collapsed="false">
      <c r="B9" s="25" t="s">
        <v>148</v>
      </c>
      <c r="C9" s="26" t="n">
        <f aca="false">C5+C6+C7+C8</f>
        <v>6670328</v>
      </c>
      <c r="D9" s="18" t="s">
        <v>149</v>
      </c>
    </row>
    <row r="11" customFormat="false" ht="15" hidden="false" customHeight="true" outlineLevel="0" collapsed="false">
      <c r="B11" s="14" t="s">
        <v>150</v>
      </c>
      <c r="C11" s="23" t="s">
        <v>138</v>
      </c>
      <c r="D11" s="23" t="s">
        <v>139</v>
      </c>
    </row>
    <row r="12" customFormat="false" ht="15" hidden="false" customHeight="true" outlineLevel="0" collapsed="false">
      <c r="B12" s="16" t="s">
        <v>151</v>
      </c>
      <c r="C12" s="24" t="n">
        <f aca="false">Assumptions!C10*12</f>
        <v>420000</v>
      </c>
      <c r="D12" s="18" t="s">
        <v>152</v>
      </c>
    </row>
    <row r="13" customFormat="false" ht="15" hidden="false" customHeight="true" outlineLevel="0" collapsed="false">
      <c r="B13" s="16" t="s">
        <v>153</v>
      </c>
      <c r="C13" s="24" t="n">
        <f aca="false">Revenue!C7*Assumptions!C12</f>
        <v>2820096</v>
      </c>
      <c r="D13" s="18" t="s">
        <v>154</v>
      </c>
    </row>
    <row r="14" customFormat="false" ht="15" hidden="false" customHeight="true" outlineLevel="0" collapsed="false">
      <c r="B14" s="25" t="s">
        <v>155</v>
      </c>
      <c r="C14" s="26" t="n">
        <f aca="false">C12+C13</f>
        <v>3240096</v>
      </c>
      <c r="D14" s="18" t="s">
        <v>156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50"/>
  </cols>
  <sheetData>
    <row r="2" customFormat="false" ht="17.25" hidden="false" customHeight="true" outlineLevel="0" collapsed="false">
      <c r="B2" s="5" t="s">
        <v>157</v>
      </c>
      <c r="C2" s="5"/>
      <c r="D2" s="5"/>
    </row>
    <row r="4" customFormat="false" ht="15" hidden="false" customHeight="true" outlineLevel="0" collapsed="false">
      <c r="B4" s="14" t="s">
        <v>158</v>
      </c>
      <c r="C4" s="23" t="s">
        <v>159</v>
      </c>
      <c r="D4" s="23" t="s">
        <v>139</v>
      </c>
    </row>
    <row r="5" customFormat="false" ht="15" hidden="false" customHeight="true" outlineLevel="0" collapsed="false">
      <c r="B5" s="16" t="s">
        <v>160</v>
      </c>
      <c r="C5" s="27" t="n">
        <f aca="false">Assumptions!C17*Assumptions!C16</f>
        <v>2399040</v>
      </c>
      <c r="D5" s="18" t="s">
        <v>161</v>
      </c>
    </row>
    <row r="6" customFormat="false" ht="15" hidden="false" customHeight="true" outlineLevel="0" collapsed="false">
      <c r="B6" s="16" t="s">
        <v>162</v>
      </c>
      <c r="C6" s="27" t="n">
        <f aca="false">Assumptions!C18*Assumptions!C16</f>
        <v>2301120</v>
      </c>
      <c r="D6" s="18" t="s">
        <v>163</v>
      </c>
    </row>
    <row r="7" customFormat="false" ht="15" hidden="false" customHeight="true" outlineLevel="0" collapsed="false">
      <c r="B7" s="25" t="s">
        <v>164</v>
      </c>
      <c r="C7" s="28" t="n">
        <f aca="false">C5+C6</f>
        <v>4700160</v>
      </c>
      <c r="D7" s="18" t="s">
        <v>165</v>
      </c>
    </row>
    <row r="9" customFormat="false" ht="15" hidden="false" customHeight="true" outlineLevel="0" collapsed="false">
      <c r="B9" s="14" t="s">
        <v>166</v>
      </c>
      <c r="C9" s="23" t="s">
        <v>159</v>
      </c>
      <c r="D9" s="23" t="s">
        <v>139</v>
      </c>
    </row>
    <row r="10" customFormat="false" ht="15" hidden="false" customHeight="true" outlineLevel="0" collapsed="false">
      <c r="B10" s="16" t="s">
        <v>167</v>
      </c>
      <c r="C10" s="24" t="n">
        <f aca="false">C5*Assumptions!C20</f>
        <v>4798080</v>
      </c>
      <c r="D10" s="18" t="s">
        <v>168</v>
      </c>
    </row>
    <row r="11" customFormat="false" ht="15" hidden="false" customHeight="true" outlineLevel="0" collapsed="false">
      <c r="B11" s="16" t="s">
        <v>169</v>
      </c>
      <c r="C11" s="24" t="n">
        <f aca="false">C6*Assumptions!C21</f>
        <v>10355040</v>
      </c>
      <c r="D11" s="18" t="s">
        <v>170</v>
      </c>
    </row>
    <row r="12" customFormat="false" ht="15" hidden="false" customHeight="true" outlineLevel="0" collapsed="false">
      <c r="B12" s="16" t="s">
        <v>101</v>
      </c>
      <c r="C12" s="24" t="n">
        <f aca="false">C5*Assumptions!C22</f>
        <v>4798080</v>
      </c>
      <c r="D12" s="18" t="s">
        <v>171</v>
      </c>
    </row>
    <row r="13" customFormat="false" ht="15" hidden="false" customHeight="true" outlineLevel="0" collapsed="false">
      <c r="B13" s="16" t="s">
        <v>103</v>
      </c>
      <c r="C13" s="24" t="n">
        <f aca="false">C6*Assumptions!C23</f>
        <v>9204480</v>
      </c>
      <c r="D13" s="18" t="s">
        <v>172</v>
      </c>
    </row>
    <row r="14" customFormat="false" ht="15" hidden="false" customHeight="true" outlineLevel="0" collapsed="false">
      <c r="B14" s="16" t="s">
        <v>105</v>
      </c>
      <c r="C14" s="24" t="n">
        <f aca="false">C5*Assumptions!C24</f>
        <v>2399040</v>
      </c>
      <c r="D14" s="18" t="s">
        <v>173</v>
      </c>
    </row>
    <row r="15" customFormat="false" ht="15" hidden="false" customHeight="true" outlineLevel="0" collapsed="false">
      <c r="B15" s="16" t="s">
        <v>107</v>
      </c>
      <c r="C15" s="24" t="n">
        <f aca="false">C6*Assumptions!C25</f>
        <v>4026960</v>
      </c>
      <c r="D15" s="18" t="s">
        <v>174</v>
      </c>
    </row>
    <row r="16" customFormat="false" ht="15" hidden="false" customHeight="true" outlineLevel="0" collapsed="false">
      <c r="B16" s="25" t="s">
        <v>175</v>
      </c>
      <c r="C16" s="26" t="n">
        <f aca="false">SUM(C10:C15)</f>
        <v>35581680</v>
      </c>
      <c r="D16" s="18" t="s">
        <v>176</v>
      </c>
    </row>
    <row r="17" customFormat="false" ht="15" hidden="false" customHeight="true" outlineLevel="0" collapsed="false">
      <c r="B17" s="16" t="s">
        <v>177</v>
      </c>
      <c r="C17" s="29" t="n">
        <v>0</v>
      </c>
      <c r="D17" s="18" t="s">
        <v>178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48"/>
  </cols>
  <sheetData>
    <row r="2" customFormat="false" ht="17.25" hidden="false" customHeight="true" outlineLevel="0" collapsed="false">
      <c r="B2" s="5" t="s">
        <v>179</v>
      </c>
      <c r="C2" s="5"/>
      <c r="D2" s="5"/>
    </row>
    <row r="4" customFormat="false" ht="15" hidden="false" customHeight="true" outlineLevel="0" collapsed="false">
      <c r="B4" s="14" t="s">
        <v>180</v>
      </c>
      <c r="C4" s="23" t="s">
        <v>159</v>
      </c>
      <c r="D4" s="23" t="s">
        <v>181</v>
      </c>
    </row>
    <row r="5" customFormat="false" ht="15" hidden="false" customHeight="true" outlineLevel="0" collapsed="false">
      <c r="B5" s="16" t="s">
        <v>182</v>
      </c>
      <c r="C5" s="30" t="n">
        <f aca="false">Revenue!C16</f>
        <v>35581680</v>
      </c>
      <c r="D5" s="18" t="s">
        <v>183</v>
      </c>
    </row>
    <row r="6" customFormat="false" ht="15" hidden="false" customHeight="true" outlineLevel="0" collapsed="false">
      <c r="B6" s="16" t="s">
        <v>184</v>
      </c>
      <c r="C6" s="30" t="n">
        <f aca="false">'WasteWerx Cost'!C14*-1</f>
        <v>-3240096</v>
      </c>
      <c r="D6" s="18" t="s">
        <v>185</v>
      </c>
    </row>
    <row r="7" customFormat="false" ht="15" hidden="false" customHeight="true" outlineLevel="0" collapsed="false">
      <c r="B7" s="16" t="s">
        <v>110</v>
      </c>
      <c r="C7" s="24" t="n">
        <f aca="false">Assumptions!C27*-1</f>
        <v>-940032</v>
      </c>
      <c r="D7" s="18" t="s">
        <v>186</v>
      </c>
    </row>
    <row r="8" customFormat="false" ht="15" hidden="false" customHeight="true" outlineLevel="0" collapsed="false">
      <c r="B8" s="16" t="s">
        <v>187</v>
      </c>
      <c r="C8" s="24" t="n">
        <f aca="false">Assumptions!C28*-1</f>
        <v>-235008</v>
      </c>
      <c r="D8" s="18" t="s">
        <v>186</v>
      </c>
    </row>
    <row r="9" customFormat="false" ht="15" hidden="false" customHeight="true" outlineLevel="0" collapsed="false">
      <c r="B9" s="16" t="s">
        <v>115</v>
      </c>
      <c r="C9" s="24" t="n">
        <f aca="false">Assumptions!C29*-1</f>
        <v>-376013</v>
      </c>
      <c r="D9" s="18" t="s">
        <v>186</v>
      </c>
    </row>
    <row r="10" customFormat="false" ht="15" hidden="false" customHeight="true" outlineLevel="0" collapsed="false">
      <c r="B10" s="16" t="s">
        <v>188</v>
      </c>
      <c r="C10" s="24" t="n">
        <f aca="false">Assumptions!C30*-1</f>
        <v>-425000</v>
      </c>
      <c r="D10" s="18" t="s">
        <v>186</v>
      </c>
    </row>
    <row r="11" customFormat="false" ht="15" hidden="false" customHeight="true" outlineLevel="0" collapsed="false">
      <c r="B11" s="16" t="s">
        <v>189</v>
      </c>
      <c r="C11" s="24" t="n">
        <f aca="false">Assumptions!C31*-1</f>
        <v>-65000</v>
      </c>
      <c r="D11" s="18" t="s">
        <v>186</v>
      </c>
    </row>
    <row r="12" customFormat="false" ht="15" hidden="false" customHeight="true" outlineLevel="0" collapsed="false">
      <c r="B12" s="16" t="s">
        <v>120</v>
      </c>
      <c r="C12" s="24" t="n">
        <f aca="false">Assumptions!C32*-1</f>
        <v>-25000</v>
      </c>
      <c r="D12" s="18" t="s">
        <v>186</v>
      </c>
    </row>
    <row r="13" customFormat="false" ht="15" hidden="false" customHeight="true" outlineLevel="0" collapsed="false">
      <c r="B13" s="16" t="s">
        <v>121</v>
      </c>
      <c r="C13" s="24" t="n">
        <f aca="false">Assumptions!C33*-1</f>
        <v>-75000</v>
      </c>
      <c r="D13" s="18" t="s">
        <v>186</v>
      </c>
    </row>
    <row r="14" customFormat="false" ht="15" hidden="false" customHeight="true" outlineLevel="0" collapsed="false">
      <c r="B14" s="25" t="s">
        <v>190</v>
      </c>
      <c r="C14" s="26" t="n">
        <f aca="false">SUM(C5:C13)</f>
        <v>30200531</v>
      </c>
      <c r="D14" s="18" t="s">
        <v>191</v>
      </c>
    </row>
    <row r="15" customFormat="false" ht="15" hidden="false" customHeight="true" outlineLevel="0" collapsed="false">
      <c r="B15" s="16" t="s">
        <v>192</v>
      </c>
      <c r="C15" s="24" t="n">
        <f aca="false">C14*Assumptions!C36*-1</f>
        <v>-3020053.1</v>
      </c>
      <c r="D15" s="18" t="s">
        <v>193</v>
      </c>
    </row>
    <row r="16" customFormat="false" ht="15" hidden="false" customHeight="true" outlineLevel="0" collapsed="false">
      <c r="B16" s="25" t="s">
        <v>194</v>
      </c>
      <c r="C16" s="31" t="n">
        <f aca="false">C14+C15</f>
        <v>27180477.9</v>
      </c>
    </row>
    <row r="18" customFormat="false" ht="15" hidden="false" customHeight="true" outlineLevel="0" collapsed="false">
      <c r="B18" s="14" t="s">
        <v>195</v>
      </c>
      <c r="C18" s="23" t="s">
        <v>196</v>
      </c>
      <c r="D18" s="23" t="s">
        <v>139</v>
      </c>
    </row>
    <row r="19" customFormat="false" ht="15" hidden="false" customHeight="true" outlineLevel="0" collapsed="false">
      <c r="B19" s="16" t="s">
        <v>197</v>
      </c>
      <c r="C19" s="24" t="n">
        <f aca="false">'WasteWerx Cost'!C9+Assumptions!C35</f>
        <v>7622828</v>
      </c>
      <c r="D19" s="18" t="s">
        <v>198</v>
      </c>
    </row>
    <row r="20" customFormat="false" ht="15" hidden="false" customHeight="true" outlineLevel="0" collapsed="false">
      <c r="B20" s="16" t="s">
        <v>199</v>
      </c>
      <c r="C20" s="30" t="n">
        <f aca="false">C14</f>
        <v>30200531</v>
      </c>
      <c r="D20" s="18" t="s">
        <v>200</v>
      </c>
    </row>
    <row r="21" customFormat="false" ht="15" hidden="false" customHeight="true" outlineLevel="0" collapsed="false">
      <c r="B21" s="25" t="s">
        <v>201</v>
      </c>
      <c r="C21" s="32" t="n">
        <f aca="false">C19/C14</f>
        <v>0.252407085160191</v>
      </c>
      <c r="D21" s="18" t="s">
        <v>202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6" min="4" style="1" width="16"/>
  </cols>
  <sheetData>
    <row r="2" customFormat="false" ht="17.25" hidden="false" customHeight="true" outlineLevel="0" collapsed="false">
      <c r="B2" s="5" t="s">
        <v>203</v>
      </c>
      <c r="C2" s="5"/>
      <c r="D2" s="5"/>
      <c r="E2" s="5"/>
      <c r="F2" s="5"/>
    </row>
    <row r="4" customFormat="false" ht="15" hidden="false" customHeight="true" outlineLevel="0" collapsed="false">
      <c r="B4" s="23" t="s">
        <v>204</v>
      </c>
      <c r="C4" s="23" t="s">
        <v>205</v>
      </c>
      <c r="D4" s="23" t="s">
        <v>206</v>
      </c>
      <c r="E4" s="23" t="s">
        <v>207</v>
      </c>
      <c r="F4" s="23" t="s">
        <v>208</v>
      </c>
    </row>
    <row r="5" customFormat="false" ht="15" hidden="false" customHeight="true" outlineLevel="0" collapsed="false">
      <c r="B5" s="16" t="s">
        <v>209</v>
      </c>
      <c r="C5" s="30" t="n">
        <f aca="false">'Per-Site P&amp;L'!C5</f>
        <v>35581680</v>
      </c>
      <c r="D5" s="24" t="n">
        <f aca="false">$C5</f>
        <v>35581680</v>
      </c>
      <c r="E5" s="24" t="n">
        <f aca="false">$C5</f>
        <v>35581680</v>
      </c>
      <c r="F5" s="24" t="n">
        <f aca="false">$C5</f>
        <v>35581680</v>
      </c>
    </row>
    <row r="6" customFormat="false" ht="15" hidden="false" customHeight="true" outlineLevel="0" collapsed="false">
      <c r="B6" s="16" t="s">
        <v>199</v>
      </c>
      <c r="C6" s="30" t="n">
        <f aca="false">'Per-Site P&amp;L'!C14</f>
        <v>30200531</v>
      </c>
      <c r="D6" s="24" t="n">
        <f aca="false">$C6</f>
        <v>30200531</v>
      </c>
      <c r="E6" s="24" t="n">
        <f aca="false">$C6</f>
        <v>30200531</v>
      </c>
      <c r="F6" s="24" t="n">
        <f aca="false">$C6</f>
        <v>30200531</v>
      </c>
    </row>
    <row r="7" customFormat="false" ht="15" hidden="false" customHeight="true" outlineLevel="0" collapsed="false">
      <c r="B7" s="16" t="s">
        <v>125</v>
      </c>
      <c r="C7" s="30" t="n">
        <f aca="false">'Per-Site P&amp;L'!C15*-1</f>
        <v>3020053.1</v>
      </c>
      <c r="D7" s="24" t="n">
        <f aca="false">$C7</f>
        <v>3020053.1</v>
      </c>
      <c r="E7" s="24" t="n">
        <f aca="false">$C7</f>
        <v>3020053.1</v>
      </c>
      <c r="F7" s="24" t="n">
        <f aca="false">$C7</f>
        <v>3020053.1</v>
      </c>
    </row>
    <row r="8" customFormat="false" ht="15" hidden="false" customHeight="true" outlineLevel="0" collapsed="false">
      <c r="B8" s="16" t="s">
        <v>210</v>
      </c>
      <c r="C8" s="30" t="n">
        <f aca="false">'Per-Site P&amp;L'!C19</f>
        <v>7622828</v>
      </c>
      <c r="D8" s="24" t="n">
        <f aca="false">$C8</f>
        <v>7622828</v>
      </c>
      <c r="E8" s="24" t="n">
        <f aca="false">$C8</f>
        <v>7622828</v>
      </c>
      <c r="F8" s="24" t="n">
        <f aca="false">$C8</f>
        <v>7622828</v>
      </c>
    </row>
    <row r="9" customFormat="false" ht="15" hidden="false" customHeight="true" outlineLevel="0" collapsed="false">
      <c r="B9" s="16" t="s">
        <v>211</v>
      </c>
      <c r="C9" s="33" t="n">
        <f aca="false">Assumptions!C38</f>
        <v>15000</v>
      </c>
      <c r="D9" s="27" t="n">
        <f aca="false">$C9</f>
        <v>15000</v>
      </c>
      <c r="E9" s="27" t="n">
        <f aca="false">$C9</f>
        <v>15000</v>
      </c>
      <c r="F9" s="27" t="n">
        <f aca="false">$C9</f>
        <v>15000</v>
      </c>
    </row>
    <row r="10" customFormat="false" ht="15" hidden="false" customHeight="true" outlineLevel="0" collapsed="false">
      <c r="B10" s="16" t="s">
        <v>212</v>
      </c>
      <c r="C10" s="33" t="n">
        <f aca="false">Assumptions!C39</f>
        <v>30</v>
      </c>
      <c r="D10" s="27" t="n">
        <f aca="false">$C10</f>
        <v>30</v>
      </c>
      <c r="E10" s="27" t="n">
        <f aca="false">$C10</f>
        <v>30</v>
      </c>
      <c r="F10" s="27" t="n">
        <f aca="false">$C10</f>
        <v>30</v>
      </c>
    </row>
    <row r="12" customFormat="false" ht="15" hidden="false" customHeight="true" outlineLevel="0" collapsed="false">
      <c r="B12" s="14" t="s">
        <v>213</v>
      </c>
      <c r="C12" s="23" t="s">
        <v>138</v>
      </c>
      <c r="D12" s="15"/>
      <c r="E12" s="15"/>
      <c r="F12" s="15"/>
    </row>
    <row r="13" customFormat="false" ht="15" hidden="false" customHeight="true" outlineLevel="0" collapsed="false">
      <c r="B13" s="25" t="s">
        <v>214</v>
      </c>
      <c r="C13" s="31" t="n">
        <f aca="false">SUM(D5:F5)</f>
        <v>106745040</v>
      </c>
    </row>
    <row r="14" customFormat="false" ht="15" hidden="false" customHeight="true" outlineLevel="0" collapsed="false">
      <c r="B14" s="25" t="s">
        <v>215</v>
      </c>
      <c r="C14" s="31" t="n">
        <f aca="false">SUM(D6:F6)</f>
        <v>90601593</v>
      </c>
    </row>
    <row r="15" customFormat="false" ht="15" hidden="false" customHeight="true" outlineLevel="0" collapsed="false">
      <c r="B15" s="25" t="s">
        <v>216</v>
      </c>
      <c r="C15" s="31" t="n">
        <f aca="false">SUM(D7:F7)</f>
        <v>9060159.3</v>
      </c>
    </row>
    <row r="16" customFormat="false" ht="15" hidden="false" customHeight="true" outlineLevel="0" collapsed="false">
      <c r="B16" s="25" t="s">
        <v>217</v>
      </c>
      <c r="C16" s="31" t="n">
        <f aca="false">SUM(D8:F8)</f>
        <v>22868484</v>
      </c>
    </row>
    <row r="17" customFormat="false" ht="15" hidden="false" customHeight="true" outlineLevel="0" collapsed="false">
      <c r="B17" s="25" t="s">
        <v>218</v>
      </c>
      <c r="C17" s="28" t="n">
        <f aca="false">SUM(D9:F9)</f>
        <v>45000</v>
      </c>
      <c r="D17" s="18" t="s">
        <v>219</v>
      </c>
    </row>
    <row r="18" customFormat="false" ht="15" hidden="false" customHeight="true" outlineLevel="0" collapsed="false">
      <c r="B18" s="25" t="s">
        <v>220</v>
      </c>
      <c r="C18" s="28" t="n">
        <f aca="false">SUM(D10:F10)</f>
        <v>90</v>
      </c>
      <c r="D18" s="18" t="s">
        <v>221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60"/>
    <col collapsed="false" customWidth="true" hidden="false" outlineLevel="0" max="5" min="5" style="1" width="14"/>
  </cols>
  <sheetData>
    <row r="2" customFormat="false" ht="17.25" hidden="false" customHeight="true" outlineLevel="0" collapsed="false">
      <c r="B2" s="5" t="s">
        <v>222</v>
      </c>
      <c r="C2" s="5"/>
      <c r="D2" s="5"/>
      <c r="E2" s="5"/>
    </row>
    <row r="4" customFormat="false" ht="15" hidden="false" customHeight="true" outlineLevel="0" collapsed="false">
      <c r="B4" s="23" t="s">
        <v>223</v>
      </c>
      <c r="C4" s="23" t="s">
        <v>224</v>
      </c>
      <c r="D4" s="23" t="s">
        <v>225</v>
      </c>
      <c r="E4" s="23" t="s">
        <v>24</v>
      </c>
    </row>
    <row r="5" customFormat="false" ht="66" hidden="false" customHeight="true" outlineLevel="0" collapsed="false">
      <c r="B5" s="25" t="s">
        <v>226</v>
      </c>
      <c r="C5" s="34" t="s">
        <v>227</v>
      </c>
      <c r="D5" s="34" t="s">
        <v>228</v>
      </c>
      <c r="E5" s="35" t="s">
        <v>229</v>
      </c>
    </row>
    <row r="6" customFormat="false" ht="66" hidden="false" customHeight="true" outlineLevel="0" collapsed="false">
      <c r="B6" s="25" t="s">
        <v>230</v>
      </c>
      <c r="C6" s="34" t="s">
        <v>231</v>
      </c>
      <c r="D6" s="34" t="s">
        <v>232</v>
      </c>
      <c r="E6" s="35" t="s">
        <v>233</v>
      </c>
    </row>
    <row r="7" customFormat="false" ht="66" hidden="false" customHeight="true" outlineLevel="0" collapsed="false">
      <c r="B7" s="25" t="s">
        <v>234</v>
      </c>
      <c r="C7" s="34" t="s">
        <v>235</v>
      </c>
      <c r="D7" s="34" t="s">
        <v>236</v>
      </c>
      <c r="E7" s="35" t="s">
        <v>237</v>
      </c>
    </row>
    <row r="8" customFormat="false" ht="66" hidden="false" customHeight="true" outlineLevel="0" collapsed="false">
      <c r="B8" s="25" t="s">
        <v>238</v>
      </c>
      <c r="C8" s="34" t="s">
        <v>239</v>
      </c>
      <c r="D8" s="34" t="s">
        <v>240</v>
      </c>
      <c r="E8" s="36" t="s">
        <v>241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4" min="3" style="1" width="20"/>
    <col collapsed="false" customWidth="true" hidden="false" outlineLevel="0" max="5" min="5" style="1" width="14"/>
  </cols>
  <sheetData>
    <row r="2" customFormat="false" ht="17.25" hidden="false" customHeight="true" outlineLevel="0" collapsed="false">
      <c r="B2" s="5" t="s">
        <v>242</v>
      </c>
      <c r="C2" s="5"/>
      <c r="D2" s="5"/>
      <c r="E2" s="5"/>
    </row>
    <row r="4" customFormat="false" ht="15" hidden="false" customHeight="true" outlineLevel="0" collapsed="false">
      <c r="B4" s="23" t="s">
        <v>243</v>
      </c>
      <c r="C4" s="23" t="s">
        <v>244</v>
      </c>
      <c r="D4" s="23" t="s">
        <v>245</v>
      </c>
      <c r="E4" s="23" t="s">
        <v>246</v>
      </c>
    </row>
    <row r="5" customFormat="false" ht="15" hidden="false" customHeight="true" outlineLevel="0" collapsed="false">
      <c r="B5" s="16" t="s">
        <v>137</v>
      </c>
      <c r="C5" s="30" t="n">
        <f aca="false">'WasteWerx Cost'!C9</f>
        <v>6670328</v>
      </c>
      <c r="D5" s="24" t="n">
        <v>6670328</v>
      </c>
      <c r="E5" s="37" t="n">
        <f aca="false">C5-D5</f>
        <v>0</v>
      </c>
    </row>
    <row r="6" customFormat="false" ht="15" hidden="false" customHeight="true" outlineLevel="0" collapsed="false">
      <c r="B6" s="16" t="s">
        <v>247</v>
      </c>
      <c r="C6" s="30" t="n">
        <f aca="false">'Per-Site P&amp;L'!C19</f>
        <v>7622828</v>
      </c>
      <c r="D6" s="24" t="n">
        <v>7622828</v>
      </c>
      <c r="E6" s="37" t="n">
        <f aca="false">C6-D6</f>
        <v>0</v>
      </c>
    </row>
    <row r="7" customFormat="false" ht="15" hidden="false" customHeight="true" outlineLevel="0" collapsed="false">
      <c r="B7" s="16" t="s">
        <v>209</v>
      </c>
      <c r="C7" s="30" t="n">
        <f aca="false">Revenue!C16</f>
        <v>35581680</v>
      </c>
      <c r="D7" s="24" t="n">
        <v>35581680</v>
      </c>
      <c r="E7" s="37" t="n">
        <f aca="false">C7-D7</f>
        <v>0</v>
      </c>
    </row>
    <row r="8" customFormat="false" ht="15" hidden="false" customHeight="true" outlineLevel="0" collapsed="false">
      <c r="B8" s="16" t="s">
        <v>199</v>
      </c>
      <c r="C8" s="30" t="n">
        <f aca="false">'Per-Site P&amp;L'!C14</f>
        <v>30200531</v>
      </c>
      <c r="D8" s="24" t="n">
        <v>30200531</v>
      </c>
      <c r="E8" s="37" t="n">
        <f aca="false">C8-D8</f>
        <v>0</v>
      </c>
    </row>
    <row r="9" customFormat="false" ht="15" hidden="false" customHeight="true" outlineLevel="0" collapsed="false">
      <c r="B9" s="16" t="s">
        <v>248</v>
      </c>
      <c r="C9" s="38" t="n">
        <f aca="false">'Per-Site P&amp;L'!C21</f>
        <v>0.252407085160191</v>
      </c>
      <c r="D9" s="39" t="n">
        <v>0.25</v>
      </c>
      <c r="E9" s="40" t="n">
        <f aca="false">C9-D9</f>
        <v>0.00240708516019139</v>
      </c>
    </row>
    <row r="11" customFormat="false" ht="15" hidden="false" customHeight="true" outlineLevel="0" collapsed="false">
      <c r="B11" s="41" t="s">
        <v>249</v>
      </c>
      <c r="C11" s="41"/>
      <c r="D11" s="41"/>
      <c r="E11" s="41"/>
    </row>
    <row r="12" customFormat="false" ht="15" hidden="false" customHeight="true" outlineLevel="0" collapsed="false">
      <c r="B12" s="41" t="s">
        <v>250</v>
      </c>
      <c r="C12" s="41"/>
      <c r="D12" s="41"/>
      <c r="E12" s="41"/>
    </row>
  </sheetData>
  <mergeCells count="3">
    <mergeCell ref="B2:E2"/>
    <mergeCell ref="B11:E1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2026-05-19T03:32:42Z</dcterms:created>
  <dc:creator>openpyxl</dc:creator>
  <dc:description/>
  <dc:language>en-US</dc:language>
  <cp:lastModifiedBy/>
  <dcterms:modified xsi:type="dcterms:W3CDTF">2026-05-19T03:33:21Z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