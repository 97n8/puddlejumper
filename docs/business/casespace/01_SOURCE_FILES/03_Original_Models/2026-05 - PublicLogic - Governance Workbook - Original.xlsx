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ite Budgets" sheetId="2" state="visible" r:id="rId2"/>
    <sheet xmlns:r="http://schemas.openxmlformats.org/officeDocument/2006/relationships" name="VAULT Findings" sheetId="3" state="visible" r:id="rId3"/>
    <sheet xmlns:r="http://schemas.openxmlformats.org/officeDocument/2006/relationships" name="Milestone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A5568"/>
      <sz val="10"/>
    </font>
    <font>
      <name val="Arial"/>
      <charset val="1"/>
      <family val="0"/>
      <b val="1"/>
      <color rgb="FF2D3748"/>
      <sz val="10"/>
    </font>
    <font>
      <name val="Arial"/>
      <charset val="1"/>
      <family val="0"/>
      <color rgb="FF2D3748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0"/>
    </font>
    <font>
      <name val="Arial"/>
      <charset val="1"/>
      <family val="0"/>
      <color rgb="FF4A5568"/>
      <sz val="9"/>
    </font>
    <font>
      <name val="Arial"/>
      <charset val="1"/>
      <family val="0"/>
      <b val="1"/>
      <color rgb="FF1B3A5C"/>
      <sz val="11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C49A2A"/>
      <sz val="10"/>
    </font>
    <font>
      <name val="Arial"/>
      <charset val="1"/>
      <family val="0"/>
      <b val="1"/>
      <color rgb="FF4A5568"/>
      <sz val="10"/>
    </font>
    <font>
      <name val="Arial"/>
      <charset val="1"/>
      <family val="0"/>
      <b val="1"/>
      <color rgb="FF0A7029"/>
      <sz val="10"/>
    </font>
  </fonts>
  <fills count="6">
    <fill>
      <patternFill/>
    </fill>
    <fill>
      <patternFill patternType="gray125"/>
    </fill>
    <fill>
      <patternFill patternType="solid">
        <fgColor rgb="FF1B3A5C"/>
        <bgColor rgb="FF2D3748"/>
      </patternFill>
    </fill>
    <fill>
      <patternFill patternType="solid">
        <fgColor rgb="FFE8F0FE"/>
        <bgColor rgb="FFF7FAFC"/>
      </patternFill>
    </fill>
    <fill>
      <patternFill patternType="solid">
        <fgColor rgb="FFFFF8E7"/>
        <bgColor rgb="FFF7FAFC"/>
      </patternFill>
    </fill>
    <fill>
      <patternFill patternType="solid">
        <fgColor rgb="FFF7FAFC"/>
        <bgColor rgb="FFFFFFFF"/>
      </patternFill>
    </fill>
  </fills>
  <borders count="6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 style="thin">
        <color rgb="FFCBD5E0"/>
      </top>
      <bottom/>
      <diagonal/>
    </border>
    <border>
      <left/>
      <right style="thin">
        <color rgb="FFCBD5E0"/>
      </right>
      <top style="thin">
        <color rgb="FFCBD5E0"/>
      </top>
      <bottom/>
      <diagonal/>
    </border>
    <border>
      <left/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164" fontId="10" fillId="3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164" fontId="10" fillId="3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A7029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7"/>
      <rgbColor rgb="FFE8F0FE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49A2A"/>
      <rgbColor rgb="FFFF6600"/>
      <rgbColor rgb="FF4A5568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B3A5C"/>
    <outlinePr summaryBelow="1" summaryRight="1"/>
    <pageSetUpPr fitToPage="0"/>
  </sheetPr>
  <dimension ref="A1:E1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4" min="1" max="1"/>
    <col width="30" customWidth="1" style="24" min="2" max="2"/>
    <col width="22" customWidth="1" style="24" min="3" max="5"/>
  </cols>
  <sheetData>
    <row r="1" ht="17.35" customHeight="1" s="25">
      <c r="A1" s="26" t="inlineStr">
        <is>
          <t>EM&amp;S MICHIGAN LTC NETWORK — GOVERNANCE COMPLIANCE WORKBOOK</t>
        </is>
      </c>
    </row>
    <row r="2" ht="15" customHeight="1" s="25">
      <c r="A2" s="27" t="inlineStr">
        <is>
          <t>PublicLogic LLC • May 2026 • Confidential</t>
        </is>
      </c>
    </row>
    <row r="4" ht="15" customHeight="1" s="25">
      <c r="B4" s="28" t="inlineStr">
        <is>
          <t>Developer</t>
        </is>
      </c>
      <c r="C4" s="29" t="inlineStr">
        <is>
          <t>Energy Mann &amp; Sunn, Inc. (McCall, Schopp, Smith)</t>
        </is>
      </c>
      <c r="D4" s="30" t="n"/>
      <c r="E4" s="31" t="n"/>
    </row>
    <row r="5" ht="15" customHeight="1" s="25">
      <c r="B5" s="28" t="inlineStr">
        <is>
          <t>Technology Partner</t>
        </is>
      </c>
      <c r="C5" s="29" t="inlineStr">
        <is>
          <t>WasteWerx LLC</t>
        </is>
      </c>
      <c r="D5" s="30" t="n"/>
      <c r="E5" s="31" t="n"/>
    </row>
    <row r="6" ht="15" customHeight="1" s="25">
      <c r="B6" s="28" t="inlineStr">
        <is>
          <t>Project Coordinator</t>
        </is>
      </c>
      <c r="C6" s="29" t="inlineStr">
        <is>
          <t>Carbon Alliance Group (Glen Scharer)</t>
        </is>
      </c>
      <c r="D6" s="30" t="n"/>
      <c r="E6" s="31" t="n"/>
    </row>
    <row r="7" ht="15" customHeight="1" s="25">
      <c r="B7" s="28" t="inlineStr">
        <is>
          <t>Feedstock Partners</t>
        </is>
      </c>
      <c r="C7" s="29" t="inlineStr">
        <is>
          <t>National Salvage &amp; Service Corp.; E.R.R. Inc.; Geocycle LLC</t>
        </is>
      </c>
      <c r="D7" s="30" t="n"/>
      <c r="E7" s="31" t="n"/>
    </row>
    <row r="8" ht="15" customHeight="1" s="25">
      <c r="B8" s="28" t="inlineStr">
        <is>
          <t>Governance</t>
        </is>
      </c>
      <c r="C8" s="29" t="inlineStr">
        <is>
          <t>PublicLogic LLC</t>
        </is>
      </c>
      <c r="D8" s="30" t="n"/>
      <c r="E8" s="31" t="n"/>
    </row>
    <row r="9" ht="15" customHeight="1" s="25">
      <c r="B9" s="28" t="inlineStr">
        <is>
          <t>Community Partners</t>
        </is>
      </c>
      <c r="C9" s="29" t="inlineStr">
        <is>
          <t>The Warehouse / Gen 215; ACS Cooperative</t>
        </is>
      </c>
      <c r="D9" s="30" t="n"/>
      <c r="E9" s="31" t="n"/>
    </row>
    <row r="10" ht="15" customHeight="1" s="25">
      <c r="B10" s="28" t="inlineStr">
        <is>
          <t>Advisory</t>
        </is>
      </c>
      <c r="C10" s="29" t="inlineStr">
        <is>
          <t>Acadia Capital Management (Brien Walton)</t>
        </is>
      </c>
      <c r="D10" s="30" t="n"/>
      <c r="E10" s="31" t="n"/>
    </row>
    <row r="11" ht="15" customHeight="1" s="25">
      <c r="B11" s="28" t="n"/>
      <c r="C11" s="29" t="n"/>
      <c r="D11" s="30" t="n"/>
      <c r="E11" s="31" t="n"/>
    </row>
    <row r="12" ht="15" customHeight="1" s="25">
      <c r="B12" s="28" t="inlineStr">
        <is>
          <t>Sites</t>
        </is>
      </c>
      <c r="C12" s="29" t="inlineStr">
        <is>
          <t>Coldwater Road (118.3ac); Dort Highway (14ac); Coleman (co-location)</t>
        </is>
      </c>
      <c r="D12" s="30" t="n"/>
      <c r="E12" s="31" t="n"/>
    </row>
    <row r="13" ht="15" customHeight="1" s="25">
      <c r="B13" s="28" t="inlineStr">
        <is>
          <t>Dev Cost (Deck)</t>
        </is>
      </c>
      <c r="C13" s="29" t="inlineStr">
        <is>
          <t>$12,200,000 per site</t>
        </is>
      </c>
      <c r="D13" s="30" t="n"/>
      <c r="E13" s="31" t="n"/>
    </row>
    <row r="14" ht="15" customHeight="1" s="25">
      <c r="B14" s="28" t="inlineStr">
        <is>
          <t>Updated Budget</t>
        </is>
      </c>
      <c r="C14" s="29" t="inlineStr">
        <is>
          <t>~$15,000,000 per site</t>
        </is>
      </c>
      <c r="D14" s="30" t="n"/>
      <c r="E14" s="31" t="n"/>
    </row>
    <row r="15" ht="15" customHeight="1" s="25">
      <c r="B15" s="28" t="inlineStr">
        <is>
          <t>Annual Revenue</t>
        </is>
      </c>
      <c r="C15" s="29" t="inlineStr">
        <is>
          <t>$16,875,000 per site</t>
        </is>
      </c>
      <c r="D15" s="30" t="n"/>
      <c r="E15" s="31" t="n"/>
    </row>
    <row r="16" ht="15" customHeight="1" s="25">
      <c r="B16" s="28" t="inlineStr">
        <is>
          <t>Investor Equity</t>
        </is>
      </c>
      <c r="C16" s="29" t="inlineStr">
        <is>
          <t>30% available</t>
        </is>
      </c>
      <c r="D16" s="30" t="n"/>
      <c r="E16" s="31" t="n"/>
    </row>
    <row r="17" ht="15" customHeight="1" s="25">
      <c r="B17" s="28" t="inlineStr">
        <is>
          <t>Community Allocation</t>
        </is>
      </c>
      <c r="C17" s="29" t="inlineStr">
        <is>
          <t>10% to nonprofits</t>
        </is>
      </c>
      <c r="D17" s="30" t="n"/>
      <c r="E17" s="31" t="n"/>
    </row>
  </sheetData>
  <mergeCells count="16">
    <mergeCell ref="C16:E16"/>
    <mergeCell ref="C11:E11"/>
    <mergeCell ref="C14:E14"/>
    <mergeCell ref="C5:E5"/>
    <mergeCell ref="A2:E2"/>
    <mergeCell ref="C13:E13"/>
    <mergeCell ref="C8:E8"/>
    <mergeCell ref="C9:E9"/>
    <mergeCell ref="C4:E4"/>
    <mergeCell ref="A1:E1"/>
    <mergeCell ref="C17:E17"/>
    <mergeCell ref="C7:E7"/>
    <mergeCell ref="C15:E15"/>
    <mergeCell ref="C12:E12"/>
    <mergeCell ref="C6:E6"/>
    <mergeCell ref="C10:E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C49A2A"/>
    <outlinePr summaryBelow="1" summaryRight="1"/>
    <pageSetUpPr fitToPage="0"/>
  </sheetPr>
  <dimension ref="A1:D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4" min="1" max="1"/>
    <col width="44" customWidth="1" style="24" min="2" max="2"/>
    <col width="18" customWidth="1" style="24" min="3" max="4"/>
  </cols>
  <sheetData>
    <row r="1" ht="16.15" customHeight="1" s="25">
      <c r="A1" s="32" t="inlineStr">
        <is>
          <t>DEVELOPMENT COSTS — PER EM&amp;S DECK</t>
        </is>
      </c>
    </row>
    <row r="3" ht="15" customHeight="1" s="25">
      <c r="A3" s="33" t="n"/>
      <c r="B3" s="33" t="inlineStr">
        <is>
          <t>Cost Category</t>
        </is>
      </c>
      <c r="C3" s="33" t="inlineStr">
        <is>
          <t>Deck Amount</t>
        </is>
      </c>
      <c r="D3" s="33" t="inlineStr">
        <is>
          <t>Notes</t>
        </is>
      </c>
    </row>
    <row r="4" ht="15" customHeight="1" s="25">
      <c r="B4" s="29" t="inlineStr">
        <is>
          <t>Licensing + Permits</t>
        </is>
      </c>
      <c r="C4" s="34" t="n">
        <v>120000</v>
      </c>
      <c r="D4" s="35" t="n"/>
    </row>
    <row r="5" ht="15" customHeight="1" s="25">
      <c r="B5" s="29" t="inlineStr">
        <is>
          <t>A/E Fees</t>
        </is>
      </c>
      <c r="C5" s="34" t="n">
        <v>500000</v>
      </c>
      <c r="D5" s="35" t="n"/>
    </row>
    <row r="6" ht="15" customHeight="1" s="25">
      <c r="B6" s="29" t="inlineStr">
        <is>
          <t>Security + Data Infrastructure</t>
        </is>
      </c>
      <c r="C6" s="34" t="n">
        <v>400000</v>
      </c>
      <c r="D6" s="35" t="n"/>
    </row>
    <row r="7" ht="15" customHeight="1" s="25">
      <c r="B7" s="29" t="inlineStr">
        <is>
          <t>Site Work + Utilities</t>
        </is>
      </c>
      <c r="C7" s="34" t="n">
        <v>800000</v>
      </c>
      <c r="D7" s="35" t="inlineStr">
        <is>
          <t>20K SF @ $40</t>
        </is>
      </c>
    </row>
    <row r="8" ht="15" customHeight="1" s="25">
      <c r="B8" s="29" t="inlineStr">
        <is>
          <t>Building w/ Fire Suppression</t>
        </is>
      </c>
      <c r="C8" s="34" t="n">
        <v>4500000</v>
      </c>
      <c r="D8" s="35" t="inlineStr">
        <is>
          <t>20K SF @ $225</t>
        </is>
      </c>
    </row>
    <row r="9" ht="15" customHeight="1" s="25">
      <c r="B9" s="29" t="inlineStr">
        <is>
          <t>Depolymerization Plant (2 units)</t>
        </is>
      </c>
      <c r="C9" s="34" t="n">
        <v>4600000</v>
      </c>
      <c r="D9" s="35" t="inlineStr">
        <is>
          <t>WasteWerx @ $2.3M ea</t>
        </is>
      </c>
    </row>
    <row r="10" ht="15" customHeight="1" s="25">
      <c r="B10" s="29" t="inlineStr">
        <is>
          <t>Diesel Storage Tank (30K gal)</t>
        </is>
      </c>
      <c r="C10" s="34" t="n">
        <v>192000</v>
      </c>
      <c r="D10" s="35" t="n"/>
    </row>
    <row r="11" ht="15" customHeight="1" s="25">
      <c r="B11" s="29" t="inlineStr">
        <is>
          <t>Shipping + Freight</t>
        </is>
      </c>
      <c r="C11" s="34" t="n">
        <v>100000</v>
      </c>
      <c r="D11" s="35" t="n"/>
    </row>
    <row r="12" ht="15" customHeight="1" s="25">
      <c r="B12" s="29" t="inlineStr">
        <is>
          <t>Customs + Duty</t>
        </is>
      </c>
      <c r="C12" s="34" t="n">
        <v>35000</v>
      </c>
      <c r="D12" s="35" t="n"/>
    </row>
    <row r="13" ht="15" customHeight="1" s="25">
      <c r="B13" s="29" t="inlineStr">
        <is>
          <t>Commissioning</t>
        </is>
      </c>
      <c r="C13" s="34" t="n">
        <v>50000</v>
      </c>
      <c r="D13" s="35" t="n"/>
    </row>
    <row r="14" ht="15" customHeight="1" s="25">
      <c r="B14" s="29" t="inlineStr">
        <is>
          <t>Training + Support</t>
        </is>
      </c>
      <c r="C14" s="34" t="n">
        <v>65000</v>
      </c>
      <c r="D14" s="35" t="n"/>
    </row>
    <row r="15" ht="15" customHeight="1" s="25">
      <c r="B15" s="29" t="inlineStr">
        <is>
          <t>Forklifts (2)</t>
        </is>
      </c>
      <c r="C15" s="34" t="n">
        <v>41200</v>
      </c>
      <c r="D15" s="35" t="n"/>
    </row>
    <row r="16" ht="15" customHeight="1" s="25">
      <c r="B16" s="29" t="inlineStr">
        <is>
          <t>Contingency (8%)</t>
        </is>
      </c>
      <c r="C16" s="34" t="n">
        <v>800000</v>
      </c>
      <c r="D16" s="35" t="n"/>
    </row>
    <row r="17" ht="15" customHeight="1" s="25">
      <c r="B17" s="36" t="inlineStr">
        <is>
          <t>TOTAL</t>
        </is>
      </c>
      <c r="C17" s="37">
        <f>SUM(C4:C16)</f>
        <v/>
      </c>
      <c r="D17" s="38" t="n"/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CC0000"/>
    <outlinePr summaryBelow="1" summaryRight="1"/>
    <pageSetUpPr fitToPage="0"/>
  </sheetPr>
  <dimension ref="A1:E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4" min="1" max="1"/>
    <col width="14" customWidth="1" style="24" min="2" max="2"/>
    <col width="32" customWidth="1" style="24" min="3" max="3"/>
    <col width="14" customWidth="1" style="24" min="4" max="4"/>
    <col width="42" customWidth="1" style="24" min="5" max="5"/>
  </cols>
  <sheetData>
    <row r="1" ht="16.15" customHeight="1" s="25">
      <c r="A1" s="32" t="inlineStr">
        <is>
          <t>VAULT ASSESSMENT — PRIORITY ACTION ITEMS</t>
        </is>
      </c>
    </row>
    <row r="3" ht="15" customHeight="1" s="25">
      <c r="A3" s="33" t="n"/>
      <c r="B3" s="33" t="inlineStr">
        <is>
          <t>Pillar</t>
        </is>
      </c>
      <c r="C3" s="33" t="inlineStr">
        <is>
          <t>Finding</t>
        </is>
      </c>
      <c r="D3" s="33" t="inlineStr">
        <is>
          <t>Priority</t>
        </is>
      </c>
      <c r="E3" s="33" t="inlineStr">
        <is>
          <t>Action Required</t>
        </is>
      </c>
    </row>
    <row r="4" ht="36" customHeight="1" s="25">
      <c r="A4" s="39" t="n"/>
      <c r="B4" s="40" t="inlineStr">
        <is>
          <t>V</t>
        </is>
      </c>
      <c r="C4" s="39" t="inlineStr">
        <is>
          <t>Financial model: 3 conflicting versions</t>
        </is>
      </c>
      <c r="D4" s="41" t="inlineStr">
        <is>
          <t>CRITICAL</t>
        </is>
      </c>
      <c r="E4" s="39" t="inlineStr">
        <is>
          <t>Author single proforma</t>
        </is>
      </c>
    </row>
    <row r="5" ht="36" customHeight="1" s="25">
      <c r="A5" s="42" t="n"/>
      <c r="B5" s="43" t="inlineStr">
        <is>
          <t>V</t>
        </is>
      </c>
      <c r="C5" s="42" t="inlineStr">
        <is>
          <t>Revenue distribution: 45.5% unallocated</t>
        </is>
      </c>
      <c r="D5" s="44" t="inlineStr">
        <is>
          <t>HIGH</t>
        </is>
      </c>
      <c r="E5" s="42" t="inlineStr">
        <is>
          <t>Define before investor comms</t>
        </is>
      </c>
    </row>
    <row r="6" ht="36" customHeight="1" s="25">
      <c r="A6" s="39" t="n"/>
      <c r="B6" s="40" t="inlineStr">
        <is>
          <t>V</t>
        </is>
      </c>
      <c r="C6" s="39" t="inlineStr">
        <is>
          <t>Investor return: two different structures</t>
        </is>
      </c>
      <c r="D6" s="45" t="inlineStr">
        <is>
          <t>HIGH</t>
        </is>
      </c>
      <c r="E6" s="39" t="inlineStr">
        <is>
          <t>Resolve; engage securities counsel</t>
        </is>
      </c>
    </row>
    <row r="7" ht="36" customHeight="1" s="25">
      <c r="A7" s="42" t="n"/>
      <c r="B7" s="43" t="inlineStr">
        <is>
          <t>A</t>
        </is>
      </c>
      <c r="C7" s="42" t="inlineStr">
        <is>
          <t>No EM&amp;S operating agreement</t>
        </is>
      </c>
      <c r="D7" s="46" t="inlineStr">
        <is>
          <t>CRITICAL</t>
        </is>
      </c>
      <c r="E7" s="42" t="inlineStr">
        <is>
          <t>Draft before RACER purchase</t>
        </is>
      </c>
    </row>
    <row r="8" ht="36" customHeight="1" s="25">
      <c r="A8" s="39" t="n"/>
      <c r="B8" s="40" t="inlineStr">
        <is>
          <t>A</t>
        </is>
      </c>
      <c r="C8" s="39" t="inlineStr">
        <is>
          <t>LARA registration unconfirmed</t>
        </is>
      </c>
      <c r="D8" s="41" t="inlineStr">
        <is>
          <t>CRITICAL</t>
        </is>
      </c>
      <c r="E8" s="39" t="inlineStr">
        <is>
          <t>MiBusiness Registry lookup now</t>
        </is>
      </c>
    </row>
    <row r="9" ht="36" customHeight="1" s="25">
      <c r="A9" s="42" t="n"/>
      <c r="B9" s="43" t="inlineStr">
        <is>
          <t>A</t>
        </is>
      </c>
      <c r="C9" s="42" t="inlineStr">
        <is>
          <t>SPV may not be formed</t>
        </is>
      </c>
      <c r="D9" s="44" t="inlineStr">
        <is>
          <t>HIGH</t>
        </is>
      </c>
      <c r="E9" s="42" t="inlineStr">
        <is>
          <t>File MI formation documents</t>
        </is>
      </c>
    </row>
    <row r="10" ht="36" customHeight="1" s="25">
      <c r="A10" s="39" t="n"/>
      <c r="B10" s="40" t="inlineStr">
        <is>
          <t>A</t>
        </is>
      </c>
      <c r="C10" s="39" t="inlineStr">
        <is>
          <t>Dort Highway agreement unsigned</t>
        </is>
      </c>
      <c r="D10" s="45" t="inlineStr">
        <is>
          <t>HIGH</t>
        </is>
      </c>
      <c r="E10" s="39" t="inlineStr">
        <is>
          <t>Execute; complete blank exhibits</t>
        </is>
      </c>
    </row>
    <row r="11" ht="36" customHeight="1" s="25">
      <c r="A11" s="42" t="n"/>
      <c r="B11" s="43" t="inlineStr">
        <is>
          <t>U</t>
        </is>
      </c>
      <c r="C11" s="42" t="inlineStr">
        <is>
          <t>No permit register exists</t>
        </is>
      </c>
      <c r="D11" s="46" t="inlineStr">
        <is>
          <t>CRITICAL</t>
        </is>
      </c>
      <c r="E11" s="42" t="inlineStr">
        <is>
          <t>Stand up compliance tracking immediately</t>
        </is>
      </c>
    </row>
    <row r="12" ht="36" customHeight="1" s="25">
      <c r="A12" s="39" t="n"/>
      <c r="B12" s="40" t="inlineStr">
        <is>
          <t>U</t>
        </is>
      </c>
      <c r="C12" s="39" t="inlineStr">
        <is>
          <t>Off-take contracts not exhibited</t>
        </is>
      </c>
      <c r="D12" s="45" t="inlineStr">
        <is>
          <t>HIGH</t>
        </is>
      </c>
      <c r="E12" s="39" t="inlineStr">
        <is>
          <t>Obtain and document</t>
        </is>
      </c>
    </row>
    <row r="13" ht="36" customHeight="1" s="25">
      <c r="A13" s="42" t="n"/>
      <c r="B13" s="43" t="inlineStr">
        <is>
          <t>U</t>
        </is>
      </c>
      <c r="C13" s="42" t="inlineStr">
        <is>
          <t>Community 10% is verbal only</t>
        </is>
      </c>
      <c r="D13" s="47" t="inlineStr">
        <is>
          <t>MEDIUM</t>
        </is>
      </c>
      <c r="E13" s="42" t="inlineStr">
        <is>
          <t>Encode in operating agreements</t>
        </is>
      </c>
    </row>
    <row r="14" ht="36" customHeight="1" s="25">
      <c r="A14" s="39" t="n"/>
      <c r="B14" s="40" t="inlineStr">
        <is>
          <t>L</t>
        </is>
      </c>
      <c r="C14" s="39" t="inlineStr">
        <is>
          <t>Restrictive covenant not reviewed</t>
        </is>
      </c>
      <c r="D14" s="45" t="inlineStr">
        <is>
          <t>HIGH</t>
        </is>
      </c>
      <c r="E14" s="39" t="inlineStr">
        <is>
          <t>Confirm pyrolysis permitted</t>
        </is>
      </c>
    </row>
    <row r="15" ht="36" customHeight="1" s="25">
      <c r="A15" s="42" t="n"/>
      <c r="B15" s="43" t="inlineStr">
        <is>
          <t>L</t>
        </is>
      </c>
      <c r="C15" s="42" t="inlineStr">
        <is>
          <t>Tax treatment unusual (6% on gross)</t>
        </is>
      </c>
      <c r="D15" s="47" t="inlineStr">
        <is>
          <t>MEDIUM</t>
        </is>
      </c>
      <c r="E15" s="42" t="inlineStr">
        <is>
          <t>Tax counsel review</t>
        </is>
      </c>
    </row>
    <row r="16" ht="36" customHeight="1" s="25">
      <c r="A16" s="39" t="n"/>
      <c r="B16" s="40" t="inlineStr">
        <is>
          <t>T</t>
        </is>
      </c>
      <c r="C16" s="39" t="inlineStr">
        <is>
          <t>All knowledge in McCall relationships</t>
        </is>
      </c>
      <c r="D16" s="41" t="inlineStr">
        <is>
          <t>CRITICAL</t>
        </is>
      </c>
      <c r="E16" s="39" t="inlineStr">
        <is>
          <t>System must capture institutional knowledge for 25-year term</t>
        </is>
      </c>
    </row>
    <row r="17" ht="36" customHeight="1" s="25">
      <c r="A17" s="42" t="n"/>
      <c r="B17" s="43" t="inlineStr">
        <is>
          <t>T</t>
        </is>
      </c>
      <c r="C17" s="42" t="inlineStr">
        <is>
          <t>No succession protocol</t>
        </is>
      </c>
      <c r="D17" s="44" t="inlineStr">
        <is>
          <t>HIGH</t>
        </is>
      </c>
      <c r="E17" s="42" t="inlineStr">
        <is>
          <t>Document in operating agreement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B3A5C"/>
    <outlinePr summaryBelow="1" summaryRight="1"/>
    <pageSetUpPr fitToPage="0"/>
  </sheetPr>
  <dimension ref="A1:F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4" min="1" max="1"/>
    <col width="12" customWidth="1" style="24" min="2" max="2"/>
    <col width="30" customWidth="1" style="24" min="3" max="3"/>
    <col width="20" customWidth="1" style="24" min="4" max="4"/>
    <col width="14" customWidth="1" style="24" min="5" max="6"/>
  </cols>
  <sheetData>
    <row r="1" ht="16.15" customHeight="1" s="25">
      <c r="A1" s="32" t="inlineStr">
        <is>
          <t>COMPLIANCE &amp; PERMITTING MILESTONES</t>
        </is>
      </c>
    </row>
    <row r="3" ht="15" customHeight="1" s="25">
      <c r="A3" s="33" t="n"/>
      <c r="B3" s="33" t="inlineStr">
        <is>
          <t>Phase</t>
        </is>
      </c>
      <c r="C3" s="33" t="inlineStr">
        <is>
          <t>Milestone</t>
        </is>
      </c>
      <c r="D3" s="33" t="inlineStr">
        <is>
          <t>Responsible</t>
        </is>
      </c>
      <c r="E3" s="33" t="inlineStr">
        <is>
          <t>Target</t>
        </is>
      </c>
      <c r="F3" s="33" t="inlineStr">
        <is>
          <t>Status</t>
        </is>
      </c>
    </row>
    <row r="4" ht="15" customHeight="1" s="25">
      <c r="A4" s="39" t="n"/>
      <c r="B4" s="40" t="inlineStr">
        <is>
          <t>Ph 1</t>
        </is>
      </c>
      <c r="C4" s="39" t="inlineStr">
        <is>
          <t>Partnership agreements established</t>
        </is>
      </c>
      <c r="D4" s="39" t="inlineStr">
        <is>
          <t>PublicLogic/Glen</t>
        </is>
      </c>
      <c r="E4" s="39" t="inlineStr">
        <is>
          <t>May 2026</t>
        </is>
      </c>
      <c r="F4" s="48" t="inlineStr">
        <is>
          <t>Carbon Alliance + WasteWerx</t>
        </is>
      </c>
    </row>
    <row r="5" ht="15" customHeight="1" s="25">
      <c r="A5" s="42" t="n"/>
      <c r="B5" s="43" t="inlineStr">
        <is>
          <t>Ph 1</t>
        </is>
      </c>
      <c r="C5" s="42" t="inlineStr">
        <is>
          <t>LARA registration confirmed</t>
        </is>
      </c>
      <c r="D5" s="42" t="inlineStr">
        <is>
          <t>EM&amp;S</t>
        </is>
      </c>
      <c r="E5" s="42" t="inlineStr">
        <is>
          <t>May 2026</t>
        </is>
      </c>
      <c r="F5" s="44" t="inlineStr">
        <is>
          <t>Pending</t>
        </is>
      </c>
    </row>
    <row r="6" ht="15" customHeight="1" s="25">
      <c r="A6" s="39" t="n"/>
      <c r="B6" s="40" t="inlineStr">
        <is>
          <t>Ph 1</t>
        </is>
      </c>
      <c r="C6" s="39" t="inlineStr">
        <is>
          <t>Proforma reconciliation</t>
        </is>
      </c>
      <c r="D6" s="39" t="inlineStr">
        <is>
          <t>EM&amp;S/CA</t>
        </is>
      </c>
      <c r="E6" s="39" t="inlineStr">
        <is>
          <t>May 2026</t>
        </is>
      </c>
      <c r="F6" s="45" t="inlineStr">
        <is>
          <t>Pending</t>
        </is>
      </c>
    </row>
    <row r="7" ht="15" customHeight="1" s="25">
      <c r="A7" s="42" t="n"/>
      <c r="B7" s="43" t="inlineStr">
        <is>
          <t>Ph 1</t>
        </is>
      </c>
      <c r="C7" s="42" t="inlineStr">
        <is>
          <t>VAULT briefing delivered</t>
        </is>
      </c>
      <c r="D7" s="42" t="inlineStr">
        <is>
          <t>PublicLogic</t>
        </is>
      </c>
      <c r="E7" s="42" t="inlineStr">
        <is>
          <t>May 2026</t>
        </is>
      </c>
      <c r="F7" s="49" t="inlineStr">
        <is>
          <t>Complete</t>
        </is>
      </c>
    </row>
    <row r="8" ht="15" customHeight="1" s="25">
      <c r="A8" s="39" t="n"/>
      <c r="B8" s="40" t="inlineStr">
        <is>
          <t>Ph 1</t>
        </is>
      </c>
      <c r="C8" s="39" t="inlineStr">
        <is>
          <t>Cover letters finalized</t>
        </is>
      </c>
      <c r="D8" s="39" t="inlineStr">
        <is>
          <t>PublicLogic</t>
        </is>
      </c>
      <c r="E8" s="39" t="inlineStr">
        <is>
          <t>May 2026</t>
        </is>
      </c>
      <c r="F8" s="48" t="inlineStr">
        <is>
          <t>Complete</t>
        </is>
      </c>
    </row>
    <row r="9" ht="15" customHeight="1" s="25">
      <c r="A9" s="42" t="n"/>
      <c r="B9" s="43" t="inlineStr">
        <is>
          <t>Ph 1</t>
        </is>
      </c>
      <c r="C9" s="42" t="inlineStr">
        <is>
          <t>Restrictive covenant review</t>
        </is>
      </c>
      <c r="D9" s="42" t="inlineStr">
        <is>
          <t>PublicLogic</t>
        </is>
      </c>
      <c r="E9" s="42" t="inlineStr">
        <is>
          <t>Jun 2026</t>
        </is>
      </c>
      <c r="F9" s="47" t="inlineStr">
        <is>
          <t>Not Started</t>
        </is>
      </c>
    </row>
    <row r="10" ht="15" customHeight="1" s="25">
      <c r="A10" s="39" t="n"/>
      <c r="B10" s="40" t="inlineStr">
        <is>
          <t>Ph 1</t>
        </is>
      </c>
      <c r="C10" s="39" t="inlineStr">
        <is>
          <t>Dort Hwy agreement executed</t>
        </is>
      </c>
      <c r="D10" s="39" t="inlineStr">
        <is>
          <t>EM&amp;S/All</t>
        </is>
      </c>
      <c r="E10" s="39" t="inlineStr">
        <is>
          <t>Jun 2026</t>
        </is>
      </c>
      <c r="F10" s="50" t="inlineStr">
        <is>
          <t>Not Started</t>
        </is>
      </c>
    </row>
    <row r="11" ht="15" customHeight="1" s="25">
      <c r="A11" s="42" t="n"/>
      <c r="B11" s="43" t="inlineStr">
        <is>
          <t>Ph 2</t>
        </is>
      </c>
      <c r="C11" s="42" t="inlineStr">
        <is>
          <t>EGLE pre-app meeting</t>
        </is>
      </c>
      <c r="D11" s="42" t="inlineStr">
        <is>
          <t>PublicLogic/EM&amp;S</t>
        </is>
      </c>
      <c r="E11" s="42" t="inlineStr">
        <is>
          <t>Jun 2026</t>
        </is>
      </c>
      <c r="F11" s="47" t="inlineStr">
        <is>
          <t>Not Started</t>
        </is>
      </c>
    </row>
    <row r="12" ht="15" customHeight="1" s="25">
      <c r="A12" s="39" t="n"/>
      <c r="B12" s="40" t="inlineStr">
        <is>
          <t>Ph 2</t>
        </is>
      </c>
      <c r="C12" s="39" t="inlineStr">
        <is>
          <t>RACER acquisition (Coldwater)</t>
        </is>
      </c>
      <c r="D12" s="39" t="inlineStr">
        <is>
          <t>EM&amp;S</t>
        </is>
      </c>
      <c r="E12" s="39" t="inlineStr">
        <is>
          <t>Jul 2026</t>
        </is>
      </c>
      <c r="F12" s="50" t="inlineStr">
        <is>
          <t>Not Started</t>
        </is>
      </c>
    </row>
    <row r="13" ht="15" customHeight="1" s="25">
      <c r="A13" s="42" t="n"/>
      <c r="B13" s="43" t="inlineStr">
        <is>
          <t>Ph 2</t>
        </is>
      </c>
      <c r="C13" s="42" t="inlineStr">
        <is>
          <t>BEA filed</t>
        </is>
      </c>
      <c r="D13" s="42" t="inlineStr">
        <is>
          <t>PublicLogic</t>
        </is>
      </c>
      <c r="E13" s="42" t="inlineStr">
        <is>
          <t>Jul 2026</t>
        </is>
      </c>
      <c r="F13" s="47" t="inlineStr">
        <is>
          <t>Not Started</t>
        </is>
      </c>
    </row>
    <row r="14" ht="15" customHeight="1" s="25">
      <c r="A14" s="39" t="n"/>
      <c r="B14" s="40" t="inlineStr">
        <is>
          <t>Ph 2</t>
        </is>
      </c>
      <c r="C14" s="39" t="inlineStr">
        <is>
          <t>Securities counsel engaged</t>
        </is>
      </c>
      <c r="D14" s="39" t="inlineStr">
        <is>
          <t>EM&amp;S</t>
        </is>
      </c>
      <c r="E14" s="39" t="inlineStr">
        <is>
          <t>Jul 2026</t>
        </is>
      </c>
      <c r="F14" s="50" t="inlineStr">
        <is>
          <t>Not Started</t>
        </is>
      </c>
    </row>
    <row r="15" ht="15" customHeight="1" s="25">
      <c r="A15" s="42" t="n"/>
      <c r="B15" s="43" t="inlineStr">
        <is>
          <t>Ph 2</t>
        </is>
      </c>
      <c r="C15" s="42" t="inlineStr">
        <is>
          <t>SPV formations</t>
        </is>
      </c>
      <c r="D15" s="42" t="inlineStr">
        <is>
          <t>EM&amp;S/Legal</t>
        </is>
      </c>
      <c r="E15" s="42" t="inlineStr">
        <is>
          <t>Jul 2026</t>
        </is>
      </c>
      <c r="F15" s="47" t="inlineStr">
        <is>
          <t>Not Started</t>
        </is>
      </c>
    </row>
    <row r="16" ht="15" customHeight="1" s="25">
      <c r="A16" s="39" t="n"/>
      <c r="B16" s="40" t="inlineStr">
        <is>
          <t>Ph 3</t>
        </is>
      </c>
      <c r="C16" s="39" t="inlineStr">
        <is>
          <t>Air PTI application</t>
        </is>
      </c>
      <c r="D16" s="39" t="inlineStr">
        <is>
          <t>PublicLogic/A&amp;E</t>
        </is>
      </c>
      <c r="E16" s="39" t="inlineStr">
        <is>
          <t>Sep 2026</t>
        </is>
      </c>
      <c r="F16" s="50" t="inlineStr">
        <is>
          <t>Not Started</t>
        </is>
      </c>
    </row>
    <row r="17" ht="15" customHeight="1" s="25">
      <c r="A17" s="42" t="n"/>
      <c r="B17" s="43" t="inlineStr">
        <is>
          <t>Ph 3</t>
        </is>
      </c>
      <c r="C17" s="42" t="inlineStr">
        <is>
          <t>Part 169 registration</t>
        </is>
      </c>
      <c r="D17" s="42" t="inlineStr">
        <is>
          <t>PublicLogic</t>
        </is>
      </c>
      <c r="E17" s="42" t="inlineStr">
        <is>
          <t>Jan 2027</t>
        </is>
      </c>
      <c r="F17" s="47" t="inlineStr">
        <is>
          <t>Not Started</t>
        </is>
      </c>
    </row>
    <row r="18" ht="15" customHeight="1" s="25">
      <c r="A18" s="39" t="n"/>
      <c r="B18" s="40" t="inlineStr">
        <is>
          <t>Ph 3</t>
        </is>
      </c>
      <c r="C18" s="39" t="inlineStr">
        <is>
          <t>NextCycle MI decision</t>
        </is>
      </c>
      <c r="D18" s="39" t="inlineStr">
        <is>
          <t>EGLE</t>
        </is>
      </c>
      <c r="E18" s="39" t="inlineStr">
        <is>
          <t>Summer 2026</t>
        </is>
      </c>
      <c r="F18" s="45" t="inlineStr">
        <is>
          <t>Waiting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2026-05-15T21:36:48Z</dcterms:created>
  <dcterms:modified xmlns:dcterms="http://purl.org/dc/terms/" xmlns:xsi="http://www.w3.org/2001/XMLSchema-instance" xsi:type="dcterms:W3CDTF">2026-05-15T21:51:07Z</dcterms:modified>
  <cp:revision>0</cp:revision>
</cp:coreProperties>
</file>