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7">
    <font>
      <name val="Calibri"/>
      <family val="2"/>
      <color theme="1"/>
      <sz val="11"/>
      <scheme val="minor"/>
    </font>
    <font>
      <b val="1"/>
      <color rgb="007A1F1F"/>
      <sz val="14"/>
    </font>
    <font>
      <i val="1"/>
      <color rgb="00555555"/>
      <sz val="9"/>
    </font>
    <font>
      <b val="1"/>
      <color rgb="00FFFFFF"/>
      <sz val="11"/>
    </font>
    <font>
      <b val="1"/>
      <color rgb="007A1F1F"/>
      <sz val="11"/>
    </font>
    <font>
      <b val="1"/>
    </font>
    <font>
      <b val="1"/>
      <color rgb="007A1F1F"/>
    </font>
  </fonts>
  <fills count="5">
    <fill>
      <patternFill/>
    </fill>
    <fill>
      <patternFill patternType="gray125"/>
    </fill>
    <fill>
      <patternFill patternType="solid">
        <fgColor rgb="007A1F1F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9" fontId="0" fillId="3" borderId="1" applyAlignment="1" pivotButton="0" quotePrefix="0" xfId="0">
      <alignment horizontal="center" vertical="center"/>
    </xf>
    <xf numFmtId="164" fontId="0" fillId="0" borderId="0" pivotButton="0" quotePrefix="0" xfId="0"/>
    <xf numFmtId="0" fontId="4" fillId="0" borderId="0" pivotButton="0" quotePrefix="0" xfId="0"/>
    <xf numFmtId="164" fontId="5" fillId="4" borderId="0" pivotButton="0" quotePrefix="0" xfId="0"/>
    <xf numFmtId="164" fontId="6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0" customWidth="1" min="2" max="2"/>
    <col width="9" customWidth="1" min="3" max="3"/>
    <col width="14" customWidth="1" min="4" max="4"/>
    <col width="11" customWidth="1" min="5" max="5"/>
    <col width="14" customWidth="1" min="6" max="6"/>
    <col width="11" customWidth="1" min="7" max="7"/>
    <col width="60" customWidth="1" min="8" max="8"/>
  </cols>
  <sheetData>
    <row r="1">
      <c r="A1" s="1" t="inlineStr">
        <is>
          <t>EGLE Challenge #4 — Rubric Score: As-is vs Pivot (live)</t>
        </is>
      </c>
    </row>
    <row r="2">
      <c r="A2" s="2" t="inlineStr">
        <is>
          <t>Edit yellow %-of-max cells. Weighted points = % x max. Totals out of 100 are live. Judgement of this analysis, not EGLE. Date 2026-06-03.</t>
        </is>
      </c>
    </row>
    <row r="4">
      <c r="A4" s="3" t="inlineStr">
        <is>
          <t>§</t>
        </is>
      </c>
      <c r="B4" s="3" t="inlineStr">
        <is>
          <t>Criterion</t>
        </is>
      </c>
      <c r="C4" s="3" t="inlineStr">
        <is>
          <t>Max pts</t>
        </is>
      </c>
      <c r="D4" s="3" t="inlineStr">
        <is>
          <t>As-is % of max</t>
        </is>
      </c>
      <c r="E4" s="3" t="inlineStr">
        <is>
          <t>As-is pts</t>
        </is>
      </c>
      <c r="F4" s="3" t="inlineStr">
        <is>
          <t>Pivot % of max</t>
        </is>
      </c>
      <c r="G4" s="3" t="inlineStr">
        <is>
          <t>Pivot pts</t>
        </is>
      </c>
      <c r="H4" s="3" t="inlineStr">
        <is>
          <t>Why the gap</t>
        </is>
      </c>
    </row>
    <row r="5">
      <c r="A5" s="4" t="inlineStr">
        <is>
          <t>S1</t>
        </is>
      </c>
      <c r="B5" s="5" t="inlineStr">
        <is>
          <t>Emissions Impact &amp; Depth of Decarbonization</t>
        </is>
      </c>
      <c r="C5" s="4" t="n">
        <v>30</v>
      </c>
      <c r="D5" s="6" t="n">
        <v>0.2</v>
      </c>
      <c r="E5" s="7">
        <f>C5*D5</f>
        <v/>
      </c>
      <c r="F5" s="6" t="n">
        <v>0.8</v>
      </c>
      <c r="G5" s="7">
        <f>C5*F5</f>
        <v/>
      </c>
      <c r="H5" s="5" t="inlineStr">
        <is>
          <t>As-is has no existing-facility baseline &amp; isn't cutting a facility's process emissions &gt;=50%; pivot studies McBain/Lincoln to &gt;=50% with AVERT/EPA factors</t>
        </is>
      </c>
    </row>
    <row r="6">
      <c r="A6" s="4" t="inlineStr">
        <is>
          <t>S2</t>
        </is>
      </c>
      <c r="B6" s="5" t="inlineStr">
        <is>
          <t>Facility Commitment &amp; Likelihood of Use</t>
        </is>
      </c>
      <c r="C6" s="4" t="n">
        <v>20</v>
      </c>
      <c r="D6" s="6" t="n">
        <v>0.25</v>
      </c>
      <c r="E6" s="7">
        <f>C6*D6</f>
        <v/>
      </c>
      <c r="F6" s="6" t="n">
        <v>0.85</v>
      </c>
      <c r="G6" s="7">
        <f>C6*F6</f>
        <v/>
      </c>
      <c r="H6" s="5" t="inlineStr">
        <is>
          <t>As-is 'facility' is the new build; pivot names an existing MI facility + decision-maker (Schopp) with data access &amp; a commitment letter</t>
        </is>
      </c>
    </row>
    <row r="7">
      <c r="A7" s="4" t="inlineStr">
        <is>
          <t>S3</t>
        </is>
      </c>
      <c r="B7" s="5" t="inlineStr">
        <is>
          <t>Community Benefits &amp; Co-Benefits</t>
        </is>
      </c>
      <c r="C7" s="4" t="n">
        <v>15</v>
      </c>
      <c r="D7" s="6" t="n">
        <v>0.55</v>
      </c>
      <c r="E7" s="7">
        <f>C7*D7</f>
        <v/>
      </c>
      <c r="F7" s="6" t="n">
        <v>0.85</v>
      </c>
      <c r="G7" s="7">
        <f>C7*F7</f>
        <v/>
      </c>
      <c r="H7" s="5" t="inlineStr">
        <is>
          <t>Strong community story either way (ACS, The Warehouse) but must re-anchor to the facility &amp; cap at 5% subaward</t>
        </is>
      </c>
    </row>
    <row r="8">
      <c r="A8" s="4" t="inlineStr">
        <is>
          <t>S4</t>
        </is>
      </c>
      <c r="B8" s="5" t="inlineStr">
        <is>
          <t>Technology &amp; Innovation Value</t>
        </is>
      </c>
      <c r="C8" s="4" t="n">
        <v>15</v>
      </c>
      <c r="D8" s="6" t="n">
        <v>0.4</v>
      </c>
      <c r="E8" s="7">
        <f>C8*D8</f>
        <v/>
      </c>
      <c r="F8" s="6" t="n">
        <v>0.75</v>
      </c>
      <c r="G8" s="7">
        <f>C8*F8</f>
        <v/>
      </c>
      <c r="H8" s="5" t="inlineStr">
        <is>
          <t>Pyrolysis-to-fuel steered away from; pivot leads with process electrification + circularity + enabling infrastructure</t>
        </is>
      </c>
    </row>
    <row r="9">
      <c r="A9" s="4" t="inlineStr">
        <is>
          <t>S5</t>
        </is>
      </c>
      <c r="B9" s="5" t="inlineStr">
        <is>
          <t>Replicability &amp; Value to Michigan</t>
        </is>
      </c>
      <c r="C9" s="4" t="n">
        <v>10</v>
      </c>
      <c r="D9" s="6" t="n">
        <v>0.55</v>
      </c>
      <c r="E9" s="7">
        <f>C9*D9</f>
        <v/>
      </c>
      <c r="F9" s="6" t="n">
        <v>0.85</v>
      </c>
      <c r="G9" s="7">
        <f>C9*F9</f>
        <v/>
      </c>
      <c r="H9" s="5" t="inlineStr">
        <is>
          <t>Two facilities + transferable methodology for MI biomass/combustion fleet + EGLE knowledge-sharing commitment</t>
        </is>
      </c>
    </row>
    <row r="10">
      <c r="A10" s="4" t="inlineStr">
        <is>
          <t>S6</t>
        </is>
      </c>
      <c r="B10" s="5" t="inlineStr">
        <is>
          <t>Team Competence &amp; Project Approach</t>
        </is>
      </c>
      <c r="C10" s="4" t="n">
        <v>10</v>
      </c>
      <c r="D10" s="6" t="n">
        <v>0.45</v>
      </c>
      <c r="E10" s="7">
        <f>C10*D10</f>
        <v/>
      </c>
      <c r="F10" s="6" t="n">
        <v>0.8</v>
      </c>
      <c r="G10" s="7">
        <f>C10*F10</f>
        <v/>
      </c>
      <c r="H10" s="5" t="inlineStr">
        <is>
          <t>Both need a technical engineering/emissions-modeling lead (current GAP); pivot adds it + clear PL/Rothschild/facility roles</t>
        </is>
      </c>
    </row>
    <row r="11">
      <c r="B11" s="8" t="inlineStr">
        <is>
          <t>TOTAL (out of 100)</t>
        </is>
      </c>
      <c r="C11" s="4">
        <f>SUM(C5:C10)</f>
        <v/>
      </c>
      <c r="E11" s="9">
        <f>SUM(E5:E10)</f>
        <v/>
      </c>
      <c r="G11" s="9">
        <f>SUM(G5:G10)</f>
        <v/>
      </c>
    </row>
    <row r="12">
      <c r="B12" s="8" t="inlineStr">
        <is>
          <t>Pivot advantage (pts)</t>
        </is>
      </c>
      <c r="G12" s="10">
        <f>G11-E11</f>
        <v/>
      </c>
    </row>
    <row r="14">
      <c r="B14" s="2" t="inlineStr"/>
    </row>
    <row r="15">
      <c r="B15" s="8" t="inlineStr">
        <is>
          <t>READ: As-is lands well below a fundable score and floors the 30%-weighted Emissions criterion. The pivot</t>
        </is>
      </c>
    </row>
    <row r="16">
      <c r="B16" s="2" t="inlineStr">
        <is>
          <t>(study an EXISTING MI facility's process to &gt;=50% decarbonization) is the only version that competes.</t>
        </is>
      </c>
    </row>
    <row r="17">
      <c r="B17" s="2" t="inlineStr"/>
    </row>
    <row r="18">
      <c r="B18" s="8" t="inlineStr">
        <is>
          <t>GATING ITEMS before this score is real: (1) signed facility commitment letter + named decision-maker;</t>
        </is>
      </c>
    </row>
    <row r="19">
      <c r="B19" s="2" t="inlineStr">
        <is>
          <t>(2) a technical engineering/energy-&amp;-emissions-modeling partner; (3) facility baseline (EPA FLIGHT/GHGRP);</t>
        </is>
      </c>
    </row>
    <row r="20">
      <c r="B20" s="2" t="inlineStr">
        <is>
          <t>(4) budget &lt;$400K, study-only, task-broken-out, PL fee fixed &amp; non-contingent; (5) strip carbon-credit/45Q;</t>
        </is>
      </c>
    </row>
    <row r="21">
      <c r="B21" s="2" t="inlineStr">
        <is>
          <t>(6) confirm the individualized 'Encouraged to Apply' status with Haley Neuenfeldt.</t>
        </is>
      </c>
    </row>
    <row r="22">
      <c r="B22" s="2" t="inlineStr"/>
    </row>
    <row r="23">
      <c r="B23" s="2" t="inlineStr">
        <is>
          <t>Not EGLE's scoring. Not legal/accounting advice. Edit the yellow %-of-max cells to test assumptions.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2026-06-04T23:20:12Z</dcterms:created>
  <dcterms:modified xmlns:dcterms="http://purl.org/dc/terms/" xmlns:xsi="http://www.w3.org/2001/XMLSchema-instance" xsi:type="dcterms:W3CDTF">2026-06-04T23:20:12Z</dcterms:modified>
</cp:coreProperties>
</file>