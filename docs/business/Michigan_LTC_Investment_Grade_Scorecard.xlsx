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color rgb="001F4E5F"/>
      <sz val="12"/>
    </font>
    <font>
      <b val="1"/>
      <color rgb="001F4E5F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2" fontId="0" fillId="0" borderId="0" pivotButton="0" quotePrefix="0" xfId="0"/>
    <xf numFmtId="2" fontId="4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14" customWidth="1" min="4" max="4"/>
    <col width="8" customWidth="1" min="5" max="5"/>
    <col width="13" customWidth="1" min="6" max="6"/>
    <col width="9" customWidth="1" min="7" max="7"/>
    <col width="52" customWidth="1" min="8" max="8"/>
  </cols>
  <sheetData>
    <row r="1">
      <c r="A1" s="1" t="inlineStr">
        <is>
          <t>Michigan LTC Network — Investment-Grade Scorecard (live)</t>
        </is>
      </c>
    </row>
    <row r="2">
      <c r="A2" s="2" t="inlineStr">
        <is>
          <t>Update yellow 'Current pts' (0-4) as gating items close; GPA + letter recalc. Target = 4.0 (All A). Date 2026-06-03. Not financial/legal advice.</t>
        </is>
      </c>
    </row>
    <row r="4">
      <c r="A4" s="3" t="inlineStr">
        <is>
          <t>#</t>
        </is>
      </c>
      <c r="B4" s="3" t="inlineStr">
        <is>
          <t>Dimension</t>
        </is>
      </c>
      <c r="C4" s="3" t="inlineStr">
        <is>
          <t>Weight</t>
        </is>
      </c>
      <c r="D4" s="3" t="inlineStr">
        <is>
          <t>Current pts (0-4)</t>
        </is>
      </c>
      <c r="E4" s="3" t="inlineStr">
        <is>
          <t>Target</t>
        </is>
      </c>
      <c r="F4" s="3" t="inlineStr">
        <is>
          <t>Weighted (cur)</t>
        </is>
      </c>
      <c r="G4" s="3" t="inlineStr">
        <is>
          <t>Gap to A</t>
        </is>
      </c>
      <c r="H4" s="3" t="inlineStr">
        <is>
          <t>What earns the A (evidence)</t>
        </is>
      </c>
    </row>
    <row r="5">
      <c r="A5" s="4" t="n">
        <v>1</v>
      </c>
      <c r="B5" s="5" t="inlineStr">
        <is>
          <t>Thesis / positioning</t>
        </is>
      </c>
      <c r="C5" s="6" t="n">
        <v>0.06</v>
      </c>
      <c r="D5" s="7" t="n">
        <v>3.7</v>
      </c>
      <c r="E5" s="8" t="n">
        <v>4</v>
      </c>
      <c r="F5" s="9">
        <f>C5*D5</f>
        <v/>
      </c>
      <c r="G5" s="10">
        <f>E5-D5</f>
        <v/>
      </c>
      <c r="H5" s="5" t="inlineStr">
        <is>
          <t>One consistent narrative + approved one-pager</t>
        </is>
      </c>
    </row>
    <row r="6">
      <c r="A6" s="4" t="n">
        <v>2</v>
      </c>
      <c r="B6" s="5" t="inlineStr">
        <is>
          <t>Feedstock control</t>
        </is>
      </c>
      <c r="C6" s="6" t="n">
        <v>0.1</v>
      </c>
      <c r="D6" s="7" t="n">
        <v>3.3</v>
      </c>
      <c r="E6" s="8" t="n">
        <v>4</v>
      </c>
      <c r="F6" s="9">
        <f>C6*D6</f>
        <v/>
      </c>
      <c r="G6" s="10">
        <f>E6-D6</f>
        <v/>
      </c>
      <c r="H6" s="5" t="inlineStr">
        <is>
          <t>Executed supply agreements (volume/term/price) per site</t>
        </is>
      </c>
    </row>
    <row r="7">
      <c r="A7" s="4" t="n">
        <v>3</v>
      </c>
      <c r="B7" s="5" t="inlineStr">
        <is>
          <t>Sites</t>
        </is>
      </c>
      <c r="C7" s="6" t="n">
        <v>0.08</v>
      </c>
      <c r="D7" s="7" t="n">
        <v>2.7</v>
      </c>
      <c r="E7" s="8" t="n">
        <v>4</v>
      </c>
      <c r="F7" s="9">
        <f>C7*D7</f>
        <v/>
      </c>
      <c r="G7" s="10">
        <f>E7-D7</f>
        <v/>
      </c>
      <c r="H7" s="5" t="inlineStr">
        <is>
          <t>Locked list + signed site control + use-compatibility memo</t>
        </is>
      </c>
    </row>
    <row r="8">
      <c r="A8" s="4" t="n">
        <v>4</v>
      </c>
      <c r="B8" s="5" t="inlineStr">
        <is>
          <t>Team / operators</t>
        </is>
      </c>
      <c r="C8" s="6" t="n">
        <v>0.1</v>
      </c>
      <c r="D8" s="7" t="n">
        <v>2.7</v>
      </c>
      <c r="E8" s="8" t="n">
        <v>4</v>
      </c>
      <c r="F8" s="9">
        <f>C8*D8</f>
        <v/>
      </c>
      <c r="G8" s="10">
        <f>E8-D8</f>
        <v/>
      </c>
      <c r="H8" s="5" t="inlineStr">
        <is>
          <t>Named leads + engagement letters (incl. emissions engineer, securities counsel, CFO-level)</t>
        </is>
      </c>
    </row>
    <row r="9">
      <c r="A9" s="4" t="n">
        <v>5</v>
      </c>
      <c r="B9" s="5" t="inlineStr">
        <is>
          <t>Headline economics</t>
        </is>
      </c>
      <c r="C9" s="6" t="n">
        <v>0.18</v>
      </c>
      <c r="D9" s="7" t="n">
        <v>1.3</v>
      </c>
      <c r="E9" s="8" t="n">
        <v>4</v>
      </c>
      <c r="F9" s="9">
        <f>C9*D9</f>
        <v/>
      </c>
      <c r="G9" s="10">
        <f>E9-D9</f>
        <v/>
      </c>
      <c r="H9" s="5" t="inlineStr">
        <is>
          <t>Reconciled model: bottom-up opex confirmed, base stands w/o credits, credits registration-backed, independent review</t>
        </is>
      </c>
    </row>
    <row r="10">
      <c r="A10" s="4" t="n">
        <v>6</v>
      </c>
      <c r="B10" s="5" t="inlineStr">
        <is>
          <t>Product offtake</t>
        </is>
      </c>
      <c r="C10" s="6" t="n">
        <v>0.12</v>
      </c>
      <c r="D10" s="7" t="n">
        <v>1.7</v>
      </c>
      <c r="E10" s="8" t="n">
        <v>4</v>
      </c>
      <c r="F10" s="9">
        <f>C10*D10</f>
        <v/>
      </c>
      <c r="G10" s="10">
        <f>E10-D10</f>
        <v/>
      </c>
      <c r="H10" s="5" t="inlineStr">
        <is>
          <t>Executed offtake (RD/SAF/carbon black): buyers, volumes, pricing, term</t>
        </is>
      </c>
    </row>
    <row r="11">
      <c r="A11" s="4" t="n">
        <v>7</v>
      </c>
      <c r="B11" s="5" t="inlineStr">
        <is>
          <t>Deal / corporate structure</t>
        </is>
      </c>
      <c r="C11" s="6" t="n">
        <v>0.1</v>
      </c>
      <c r="D11" s="7" t="n">
        <v>2</v>
      </c>
      <c r="E11" s="8" t="n">
        <v>4</v>
      </c>
      <c r="F11" s="9">
        <f>C11*D11</f>
        <v/>
      </c>
      <c r="G11" s="10">
        <f>E11-D11</f>
        <v/>
      </c>
      <c r="H11" s="5" t="inlineStr">
        <is>
          <t>Holdco+SPVs formed, operating agreements, LARA, counsel-structured offering</t>
        </is>
      </c>
    </row>
    <row r="12">
      <c r="A12" s="4" t="n">
        <v>8</v>
      </c>
      <c r="B12" s="5" t="inlineStr">
        <is>
          <t>Capital ask realism</t>
        </is>
      </c>
      <c r="C12" s="6" t="n">
        <v>0.08</v>
      </c>
      <c r="D12" s="7" t="n">
        <v>2</v>
      </c>
      <c r="E12" s="8" t="n">
        <v>4</v>
      </c>
      <c r="F12" s="9">
        <f>C12*D12</f>
        <v/>
      </c>
      <c r="G12" s="10">
        <f>E12-D12</f>
        <v/>
      </c>
      <c r="H12" s="5" t="inlineStr">
        <is>
          <t>Ask ties to model; use-of-funds reconciled; company-raise split documented</t>
        </is>
      </c>
    </row>
    <row r="13">
      <c r="A13" s="4" t="n">
        <v>9</v>
      </c>
      <c r="B13" s="5" t="inlineStr">
        <is>
          <t>Diligence readiness / data room</t>
        </is>
      </c>
      <c r="C13" s="6" t="n">
        <v>0.08</v>
      </c>
      <c r="D13" s="7" t="n">
        <v>1.7</v>
      </c>
      <c r="E13" s="8" t="n">
        <v>4</v>
      </c>
      <c r="F13" s="9">
        <f>C13*D13</f>
        <v/>
      </c>
      <c r="G13" s="10">
        <f>E13-D13</f>
        <v/>
      </c>
      <c r="H13" s="5" t="inlineStr">
        <is>
          <t>Single source of truth + indexed data room; all numbers reconciled</t>
        </is>
      </c>
    </row>
    <row r="14">
      <c r="A14" s="4" t="n">
        <v>10</v>
      </c>
      <c r="B14" s="5" t="inlineStr">
        <is>
          <t>Compliance posture</t>
        </is>
      </c>
      <c r="C14" s="6" t="n">
        <v>0.1</v>
      </c>
      <c r="D14" s="7" t="n">
        <v>2.3</v>
      </c>
      <c r="E14" s="8" t="n">
        <v>4</v>
      </c>
      <c r="F14" s="9">
        <f>C14*D14</f>
        <v/>
      </c>
      <c r="G14" s="10">
        <f>E14-D14</f>
        <v/>
      </c>
      <c r="H14" s="5" t="inlineStr">
        <is>
          <t>Securities counsel review; IP/FOIA/disclosure language set; PL fixed/non-contingent</t>
        </is>
      </c>
    </row>
    <row r="15">
      <c r="B15" s="11" t="inlineStr">
        <is>
          <t>OVERALL (weighted GPA / letter)</t>
        </is>
      </c>
      <c r="C15" s="12">
        <f>SUM(C5:C14)</f>
        <v/>
      </c>
      <c r="F15" s="13">
        <f>SUMPRODUCT(C5:C14,D5:D14)</f>
        <v/>
      </c>
      <c r="G15" s="14">
        <f>IF(F15&gt;=3.85,"A",IF(F15&gt;=3.5,"A-",IF(F15&gt;=3.15,"B+",IF(F15&gt;=2.85,"B",IF(F15&gt;=2.5,"B-",IF(F15&gt;=2.15,"C+",IF(F15&gt;=1.85,"C",IF(F15&gt;=1.5,"C-","D"))))))))</f>
        <v/>
      </c>
    </row>
    <row r="16">
      <c r="B16" s="11" t="inlineStr">
        <is>
          <t>Target</t>
        </is>
      </c>
      <c r="F16" s="12" t="n">
        <v>4</v>
      </c>
      <c r="G16" s="15" t="inlineStr">
        <is>
          <t>A</t>
        </is>
      </c>
    </row>
    <row r="17">
      <c r="B17" s="11" t="inlineStr">
        <is>
          <t>Gap to All A (4.0)</t>
        </is>
      </c>
      <c r="F17" s="12">
        <f>4-F15</f>
        <v/>
      </c>
    </row>
    <row r="19">
      <c r="B19" s="2" t="inlineStr"/>
    </row>
    <row r="20">
      <c r="B20" s="11" t="inlineStr">
        <is>
          <t>HOW TO USE</t>
        </is>
      </c>
    </row>
    <row r="21">
      <c r="B21" s="2" t="inlineStr">
        <is>
          <t xml:space="preserve">  * As each dimension's evidence lands (signed offtake, confirmed opex, counsel sign-off, etc.), raise its 'Current pts'.</t>
        </is>
      </c>
    </row>
    <row r="22">
      <c r="B22" s="2" t="inlineStr">
        <is>
          <t xml:space="preserve">  * 4.0 in every row = All A. The biggest movers are Headline economics (0.18) and Offtake (0.12) — they gate the grade.</t>
        </is>
      </c>
    </row>
    <row r="23">
      <c r="B23" s="2" t="inlineStr">
        <is>
          <t xml:space="preserve">  * Grade points: A=4.0, A-=3.7, B+=3.3, B=3.0, B-=2.7, C+=2.3, C=2.0, C-=1.7, D+=1.3, D=1.0.</t>
        </is>
      </c>
    </row>
    <row r="24">
      <c r="B24" s="2" t="inlineStr">
        <is>
          <t xml:space="preserve">  * Detail and owners: see Michigan_LTC_Path_to_All_A.md.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2026-06-05T01:54:15Z</dcterms:created>
  <dcterms:modified xmlns:dcterms="http://purl.org/dc/terms/" xmlns:xsi="http://www.w3.org/2001/XMLSchema-instance" xsi:type="dcterms:W3CDTF">2026-06-05T01:54:15Z</dcterms:modified>
</cp:coreProperties>
</file>