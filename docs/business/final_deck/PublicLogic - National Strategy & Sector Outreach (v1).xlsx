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Why National" sheetId="2" state="visible" r:id="rId2"/>
    <sheet xmlns:r="http://schemas.openxmlformats.org/officeDocument/2006/relationships" name="Sectors" sheetId="3" state="visible" r:id="rId3"/>
    <sheet xmlns:r="http://schemas.openxmlformats.org/officeDocument/2006/relationships" name="Sector Outreach" sheetId="4" state="visible" r:id="rId4"/>
    <sheet xmlns:r="http://schemas.openxmlformats.org/officeDocument/2006/relationships" name="Channels" sheetId="5" state="visible" r:id="rId5"/>
    <sheet xmlns:r="http://schemas.openxmlformats.org/officeDocument/2006/relationships" name="The Engine" sheetId="6" state="visible" r:id="rId6"/>
    <sheet xmlns:r="http://schemas.openxmlformats.org/officeDocument/2006/relationships" name="36-Month Plan" sheetId="7" state="visible" r:id="rId7"/>
    <sheet xmlns:r="http://schemas.openxmlformats.org/officeDocument/2006/relationships" name="Guardrails" sheetId="8" state="visible" r:id="rId8"/>
    <sheet xmlns:r="http://schemas.openxmlformats.org/officeDocument/2006/relationships" name="Outreach Track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1D20"/>
      <sz val="16"/>
    </font>
    <font>
      <i val="1"/>
      <color rgb="006B6660"/>
      <sz val="9"/>
    </font>
    <font>
      <b val="1"/>
      <color rgb="00FFFFFF"/>
      <sz val="11"/>
    </font>
    <font>
      <color rgb="001A1D20"/>
      <sz val="11"/>
    </font>
    <font>
      <b val="1"/>
      <color rgb="001A1D20"/>
      <sz val="15"/>
    </font>
    <font>
      <b val="1"/>
      <color rgb="000F4C3A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0F4C3A"/>
      </patternFill>
    </fill>
    <fill>
      <patternFill patternType="solid">
        <fgColor rgb="00ECEAE3"/>
      </patternFill>
    </fill>
    <fill>
      <patternFill patternType="solid">
        <fgColor rgb="001A1D20"/>
      </patternFill>
    </fill>
    <fill>
      <patternFill patternType="solid">
        <fgColor rgb="00FFF2CC"/>
      </patternFill>
    </fill>
    <fill>
      <patternFill patternType="solid">
        <fgColor rgb="00E3EA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>
      <c r="A1" s="1" t="inlineStr">
        <is>
          <t>PublicLogic — National Strategy &amp; Sector Outreach</t>
        </is>
      </c>
    </row>
    <row r="2">
      <c r="A2" s="2" t="inlineStr">
        <is>
          <t>v1 · How a two-person practice goes national without going wide. One method, applied where it's warm.</t>
        </is>
      </c>
    </row>
    <row r="4" ht="44" customHeight="1">
      <c r="A4" s="3" t="inlineStr">
        <is>
          <t>The thesis</t>
        </is>
      </c>
      <c r="B4" s="4" t="inlineStr">
        <is>
          <t>Our method is state-agnostic. Every jurisdiction in the country has the same three problems we already solve — institutions that lose continuity when people leave, sponsors stuck in the public-systems maze, and a funding stack no one has mapped. The programs differ by state; the method doesn't.</t>
        </is>
      </c>
    </row>
    <row r="5" ht="44" customHeight="1">
      <c r="A5" s="3" t="inlineStr">
        <is>
          <t>Why now</t>
        </is>
      </c>
      <c r="B5" s="4" t="inlineStr">
        <is>
          <t>Michigan LTC proved the model works outside Massachusetts and outside pure municipal work — a waste-to-fuel corridor across three sites, with a full funding landscape mapped and sequenced. That engagement is the template, not the exception.</t>
        </is>
      </c>
    </row>
    <row r="6" ht="44" customHeight="1">
      <c r="A6" s="3" t="inlineStr">
        <is>
          <t>What travels</t>
        </is>
      </c>
      <c r="B6" s="4" t="inlineStr">
        <is>
          <t>The method (Map → Embed → Encode → Sustain), the offer ladder, the Permit &amp; Bridge navigation, the stewardship record — and the Funding-Landscape discipline. None of it is Massachusetts-specific.</t>
        </is>
      </c>
    </row>
    <row r="7" ht="44" customHeight="1">
      <c r="A7" s="3" t="inlineStr">
        <is>
          <t>What changes</t>
        </is>
      </c>
      <c r="B7" s="4" t="inlineStr">
        <is>
          <t>Only the specifics: which programs, which agencies, which deadlines, which local sponsor. That's exactly what a Funding Landscape captures per engagement — so the variable part is itself a paid deliverable.</t>
        </is>
      </c>
    </row>
    <row r="8" ht="44" customHeight="1">
      <c r="A8" s="3" t="inlineStr">
        <is>
          <t>The engine</t>
        </is>
      </c>
      <c r="B8" s="4" t="inlineStr">
        <is>
          <t>The Funding-Landscape methodology (Michigan v5.1 is the reference build) is our scalable IP: a repeatable per-sector, per-state map of the whole instrument stack, status-controlled and sequenced. It's the reason clients need us, and it's a product.</t>
        </is>
      </c>
    </row>
    <row r="9" ht="44" customHeight="1">
      <c r="A9" s="3" t="inlineStr">
        <is>
          <t>The wedge</t>
        </is>
      </c>
      <c r="B9" s="4" t="inlineStr">
        <is>
          <t>National does NOT mean blanketing 50 states. Lead where it's warm and proven: municipal, plus the sectors we have proof in — waste/recovery, clean fuel, brownfield/redevelopment, rural. Follow warm deals and channel partners, not the map.</t>
        </is>
      </c>
    </row>
    <row r="10" ht="44" customHeight="1">
      <c r="A10" s="3" t="inlineStr">
        <is>
          <t>Capacity discipline</t>
        </is>
      </c>
      <c r="B10" s="4" t="inlineStr">
        <is>
          <t>We are two people. National scale comes from three levers — productized deliverables, channel partners who bring deals, and selective depth — never from headcount or geographic sprawl.</t>
        </is>
      </c>
    </row>
    <row r="11" ht="44" customHeight="1">
      <c r="A11" s="3" t="inlineStr">
        <is>
          <t>How to use this</t>
        </is>
      </c>
      <c r="B11" s="4" t="inlineStr">
        <is>
          <t>Sectors → the tiered target list. Sector Outreach → the working matrix (who to call, what to sell, what funding to map, scored by fit × warmth). Then Channels, Phasing, the Engine, the 36-month plan, and the guardrails that keep us from over-reaching.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52" customWidth="1" min="3" max="3"/>
  </cols>
  <sheetData>
    <row r="1">
      <c r="A1" s="5" t="inlineStr">
        <is>
          <t>Why the Model Is National</t>
        </is>
      </c>
    </row>
    <row r="2">
      <c r="A2" s="2" t="inlineStr">
        <is>
          <t>Three problems that exist in every jurisdiction — and one method that answers all three.</t>
        </is>
      </c>
    </row>
    <row r="4">
      <c r="A4" s="6" t="inlineStr">
        <is>
          <t>The universal problem</t>
        </is>
      </c>
      <c r="B4" s="6" t="inlineStr">
        <is>
          <t>How it shows up everywhere</t>
        </is>
      </c>
      <c r="C4" s="6" t="inlineStr">
        <is>
          <t>What PublicLogic brings</t>
        </is>
      </c>
    </row>
    <row r="5">
      <c r="A5" s="7" t="inlineStr">
        <is>
          <t>Lost continuity</t>
        </is>
      </c>
      <c r="B5" s="7" t="inlineStr">
        <is>
          <t>Staff leave, knowledge walks out, functions run through one person — in every town, utility, and small organization in the country.</t>
        </is>
      </c>
      <c r="C5" s="7" t="inlineStr">
        <is>
          <t>Stewardship: the record and structure that survive turnover.</t>
        </is>
      </c>
    </row>
    <row r="6">
      <c r="A6" s="7" t="inlineStr">
        <is>
          <t>The public-systems maze</t>
        </is>
      </c>
      <c r="B6" s="7" t="inlineStr">
        <is>
          <t>Permits, boards, funding rules, and politics stall good projects everywhere — the offices differ, the maze doesn't.</t>
        </is>
      </c>
      <c r="C6" s="7" t="inlineStr">
        <is>
          <t>Permit &amp; Bridge: navigation through the public system.</t>
        </is>
      </c>
    </row>
    <row r="7">
      <c r="A7" s="7" t="inlineStr">
        <is>
          <t>The unmapped funding stack</t>
        </is>
      </c>
      <c r="B7" s="7" t="inlineStr">
        <is>
          <t>Every sector and state has a stack of grants, credits, loans, and local tools no one has mapped or sequenced.</t>
        </is>
      </c>
      <c r="C7" s="7" t="inlineStr">
        <is>
          <t>The Funding Landscape: the whole stack, status-controlled and sequenced.</t>
        </is>
      </c>
    </row>
    <row r="9">
      <c r="A9" s="8" t="inlineStr">
        <is>
          <t>ONE METHOD, MANY PROGRAMS</t>
        </is>
      </c>
    </row>
    <row r="10">
      <c r="A10" s="6" t="inlineStr">
        <is>
          <t>Layer</t>
        </is>
      </c>
      <c r="B10" s="6" t="inlineStr">
        <is>
          <t>National / universal (travels)</t>
        </is>
      </c>
      <c r="C10" s="6" t="inlineStr">
        <is>
          <t>Local / variable (re-mapped per job)</t>
        </is>
      </c>
    </row>
    <row r="11">
      <c r="A11" s="7" t="inlineStr">
        <is>
          <t>Method</t>
        </is>
      </c>
      <c r="B11" s="7" t="inlineStr">
        <is>
          <t>Map → Embed → Encode → Sustain</t>
        </is>
      </c>
      <c r="C11" s="7" t="inlineStr">
        <is>
          <t>—</t>
        </is>
      </c>
    </row>
    <row r="12">
      <c r="A12" s="7" t="inlineStr">
        <is>
          <t>Offers</t>
        </is>
      </c>
      <c r="B12" s="7" t="inlineStr">
        <is>
          <t>Scan · Map · Sprints · Implementation · Capacity · Funding Landscape</t>
        </is>
      </c>
      <c r="C12" s="7" t="inlineStr">
        <is>
          <t>Price bands hold; scope flexes</t>
        </is>
      </c>
    </row>
    <row r="13">
      <c r="A13" s="7" t="inlineStr">
        <is>
          <t>Navigation</t>
        </is>
      </c>
      <c r="B13" s="7" t="inlineStr">
        <is>
          <t>Permit &amp; Bridge discipline</t>
        </is>
      </c>
      <c r="C13" s="7" t="inlineStr">
        <is>
          <t>Which boards, which offices, which sequence</t>
        </is>
      </c>
    </row>
    <row r="14">
      <c r="A14" s="7" t="inlineStr">
        <is>
          <t>Funding</t>
        </is>
      </c>
      <c r="B14" s="7" t="inlineStr">
        <is>
          <t>The landscape method + status vocabulary</t>
        </is>
      </c>
      <c r="C14" s="7" t="inlineStr">
        <is>
          <t>Which programs, agencies, deadlines, sponsors</t>
        </is>
      </c>
    </row>
    <row r="15">
      <c r="A15" s="7" t="inlineStr">
        <is>
          <t>Proof</t>
        </is>
      </c>
      <c r="B15" s="7" t="inlineStr">
        <is>
          <t>Continuity · record · readiness · adoption · outcome</t>
        </is>
      </c>
      <c r="C15" s="7" t="inlineStr">
        <is>
          <t>The specific case</t>
        </is>
      </c>
    </row>
  </sheetData>
  <mergeCells count="1">
    <mergeCell ref="A9:C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4" customWidth="1" min="3" max="3"/>
    <col width="30" customWidth="1" min="4" max="4"/>
    <col width="30" customWidth="1" min="5" max="5"/>
  </cols>
  <sheetData>
    <row r="1">
      <c r="A1" s="5" t="inlineStr">
        <is>
          <t>Target Sectors — Tiered</t>
        </is>
      </c>
    </row>
    <row r="2">
      <c r="A2" s="2" t="inlineStr">
        <is>
          <t>Lead with proof and warmth. Tier A first; Tier B as A produces; Tier C is monitor-only.</t>
        </is>
      </c>
    </row>
    <row r="4">
      <c r="A4" s="6" t="inlineStr">
        <is>
          <t>Sector</t>
        </is>
      </c>
      <c r="B4" s="6" t="inlineStr">
        <is>
          <t>Tier</t>
        </is>
      </c>
      <c r="C4" s="6" t="inlineStr">
        <is>
          <t>Why we win here</t>
        </is>
      </c>
      <c r="D4" s="6" t="inlineStr">
        <is>
          <t>Proof / adjacency</t>
        </is>
      </c>
      <c r="E4" s="6" t="inlineStr">
        <is>
          <t>Entry offer</t>
        </is>
      </c>
    </row>
    <row r="5">
      <c r="A5" s="7" t="inlineStr">
        <is>
          <t>Municipal &amp; local government</t>
        </is>
      </c>
      <c r="B5" s="7" t="inlineStr">
        <is>
          <t>A — lead</t>
        </is>
      </c>
      <c r="C5" s="7" t="inlineStr">
        <is>
          <t>Home ground; the continuity problem in its purest form; warmest relationships.</t>
        </is>
      </c>
      <c r="D5" s="7" t="inlineStr">
        <is>
          <t>Sutton, Shrewsbury, Phillipston, Gardiner</t>
        </is>
      </c>
      <c r="E5" s="7" t="inlineStr">
        <is>
          <t>Stewardship Map</t>
        </is>
      </c>
    </row>
    <row r="6">
      <c r="A6" s="7" t="inlineStr">
        <is>
          <t>Waste / recycling / circular economy</t>
        </is>
      </c>
      <c r="B6" s="7" t="inlineStr">
        <is>
          <t>A — lead</t>
        </is>
      </c>
      <c r="C6" s="7" t="inlineStr">
        <is>
          <t>Feedstock + market + permitting + a state materials-grant stack no one maps.</t>
        </is>
      </c>
      <c r="D6" s="7" t="inlineStr">
        <is>
          <t>Michigan LTC corridor</t>
        </is>
      </c>
      <c r="E6" s="7" t="inlineStr">
        <is>
          <t>Funding Landscape + Permit &amp; Bridge</t>
        </is>
      </c>
    </row>
    <row r="7">
      <c r="A7" s="7" t="inlineStr">
        <is>
          <t>Clean energy / biofuels / SAF</t>
        </is>
      </c>
      <c r="B7" s="7" t="inlineStr">
        <is>
          <t>A — lead</t>
        </is>
      </c>
      <c r="C7" s="7" t="inlineStr">
        <is>
          <t>Dense credit stack (45Z/45Q/48C), RFS pathway, university validation — high complexity, high value.</t>
        </is>
      </c>
      <c r="D7" s="7" t="inlineStr">
        <is>
          <t>Michigan LTC · WasteWerx / UCF</t>
        </is>
      </c>
      <c r="E7" s="7" t="inlineStr">
        <is>
          <t>Funding Landscape + STTR partnership</t>
        </is>
      </c>
    </row>
    <row r="8">
      <c r="A8" s="7" t="inlineStr">
        <is>
          <t>Brownfield &amp; redevelopment</t>
        </is>
      </c>
      <c r="B8" s="7" t="inlineStr">
        <is>
          <t>A — lead</t>
        </is>
      </c>
      <c r="C8" s="7" t="inlineStr">
        <is>
          <t>Assessment→cleanup→reuse funding + TIF + NMTC almost never aligned by one party.</t>
        </is>
      </c>
      <c r="D8" s="7" t="inlineStr">
        <is>
          <t>Sutton TIF · NMTC work · Flint (LTC)</t>
        </is>
      </c>
      <c r="E8" s="7" t="inlineStr">
        <is>
          <t>Permit &amp; Bridge + Funding Landscape</t>
        </is>
      </c>
    </row>
    <row r="9">
      <c r="A9" s="7" t="inlineStr">
        <is>
          <t>Rural &amp; agriculture</t>
        </is>
      </c>
      <c r="B9" s="7" t="inlineStr">
        <is>
          <t>A — lead</t>
        </is>
      </c>
      <c r="C9" s="7" t="inlineStr">
        <is>
          <t>USDA maze; grants frozen but guarantees open; wood/biomass supply chains.</t>
        </is>
      </c>
      <c r="D9" s="7" t="inlineStr">
        <is>
          <t>Coleman (LTC) · Wood Innovations</t>
        </is>
      </c>
      <c r="E9" s="7" t="inlineStr">
        <is>
          <t>Funding Landscape</t>
        </is>
      </c>
    </row>
    <row r="10">
      <c r="A10" s="7" t="inlineStr">
        <is>
          <t>Water / wastewater utilities</t>
        </is>
      </c>
      <c r="B10" s="7" t="inlineStr">
        <is>
          <t>B — next</t>
        </is>
      </c>
      <c r="C10" s="7" t="inlineStr">
        <is>
          <t>Capital planning + SRF/WIFIA navigation + asset continuity.</t>
        </is>
      </c>
      <c r="D10" s="7" t="inlineStr">
        <is>
          <t>Capital-planning work</t>
        </is>
      </c>
      <c r="E10" s="7" t="inlineStr">
        <is>
          <t>Stewardship Map + Funding Landscape</t>
        </is>
      </c>
    </row>
    <row r="11">
      <c r="A11" s="7" t="inlineStr">
        <is>
          <t>Housing &amp; community development</t>
        </is>
      </c>
      <c r="B11" s="7" t="inlineStr">
        <is>
          <t>B — next</t>
        </is>
      </c>
      <c r="C11" s="7" t="inlineStr">
        <is>
          <t>Layered capital stack (CDBG/HOME/NMTC); predevelopment + community benefit.</t>
        </is>
      </c>
      <c r="D11" s="7" t="inlineStr">
        <is>
          <t>NMTC · community-dev adjacency</t>
        </is>
      </c>
      <c r="E11" s="7" t="inlineStr">
        <is>
          <t>Permit &amp; Bridge + Funding Landscape</t>
        </is>
      </c>
    </row>
    <row r="12">
      <c r="A12" s="7" t="inlineStr">
        <is>
          <t>Higher ed / research partnerships</t>
        </is>
      </c>
      <c r="B12" s="7" t="inlineStr">
        <is>
          <t>B — next</t>
        </is>
      </c>
      <c r="C12" s="7" t="inlineStr">
        <is>
          <t>SBIR/STTR structure + a credible adoption path; commercialization.</t>
        </is>
      </c>
      <c r="D12" s="7" t="inlineStr">
        <is>
          <t>WasteWerx / UCF</t>
        </is>
      </c>
      <c r="E12" s="7" t="inlineStr">
        <is>
          <t>STTR partnership ($2,500 grant-fit)</t>
        </is>
      </c>
    </row>
    <row r="13">
      <c r="A13" s="7" t="inlineStr">
        <is>
          <t>Economic development / small mfg</t>
        </is>
      </c>
      <c r="B13" s="7" t="inlineStr">
        <is>
          <t>B — next</t>
        </is>
      </c>
      <c r="C13" s="7" t="inlineStr">
        <is>
          <t>Site readiness + incentives + workforce — the MBDP-type stack.</t>
        </is>
      </c>
      <c r="D13" s="7" t="inlineStr">
        <is>
          <t>MEDC-type work (LTC)</t>
        </is>
      </c>
      <c r="E13" s="7" t="inlineStr">
        <is>
          <t>Funding Landscape</t>
        </is>
      </c>
    </row>
    <row r="14">
      <c r="A14" s="7" t="inlineStr">
        <is>
          <t>Broadband / digital equity</t>
        </is>
      </c>
      <c r="B14" s="7" t="inlineStr">
        <is>
          <t>C — monitor</t>
        </is>
      </c>
      <c r="C14" s="7" t="inlineStr">
        <is>
          <t>BEAD / digital-equity navigation + local coordination.</t>
        </is>
      </c>
      <c r="D14" s="7" t="inlineStr">
        <is>
          <t>Adjacent municipal</t>
        </is>
      </c>
      <c r="E14" s="7" t="inlineStr">
        <is>
          <t>Permit &amp; Bridge + Funding</t>
        </is>
      </c>
    </row>
    <row r="15">
      <c r="A15" s="7" t="inlineStr">
        <is>
          <t>Long-term care / human services</t>
        </is>
      </c>
      <c r="B15" s="7" t="inlineStr">
        <is>
          <t>C — monitor</t>
        </is>
      </c>
      <c r="C15" s="7" t="inlineStr">
        <is>
          <t>Practice adoption + staff continuity after change — Allie's core domain.</t>
        </is>
      </c>
      <c r="D15" s="7" t="inlineStr">
        <is>
          <t>Allie's clinical/org background</t>
        </is>
      </c>
      <c r="E15" s="7" t="inlineStr">
        <is>
          <t>Stewardship Map + Capacity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2" customWidth="1" min="3" max="3"/>
    <col width="30" customWidth="1" min="4" max="4"/>
    <col width="44" customWidth="1" min="5" max="5"/>
    <col width="7" customWidth="1" min="6" max="6"/>
    <col width="9" customWidth="1" min="7" max="7"/>
    <col width="8" customWidth="1" min="8" max="8"/>
  </cols>
  <sheetData>
    <row r="1">
      <c r="A1" s="5" t="inlineStr">
        <is>
          <t>Sector Outreach Configuration</t>
        </is>
      </c>
    </row>
    <row r="2">
      <c r="A2" s="2" t="inlineStr">
        <is>
          <t>The working matrix. Set Fit and Warmth (1–5); Score = Fit × Warmth; sort to rank. Yellow = you edit.</t>
        </is>
      </c>
    </row>
    <row r="4">
      <c r="A4" s="6" t="inlineStr">
        <is>
          <t>Sector</t>
        </is>
      </c>
      <c r="B4" s="6" t="inlineStr">
        <is>
          <t>Who we call (buyers)</t>
        </is>
      </c>
      <c r="C4" s="6" t="inlineStr">
        <is>
          <t>The pain we lead with</t>
        </is>
      </c>
      <c r="D4" s="6" t="inlineStr">
        <is>
          <t>Entry offer</t>
        </is>
      </c>
      <c r="E4" s="6" t="inlineStr">
        <is>
          <t>Funding stack to map</t>
        </is>
      </c>
      <c r="F4" s="6" t="inlineStr">
        <is>
          <t>Fit</t>
        </is>
      </c>
      <c r="G4" s="6" t="inlineStr">
        <is>
          <t>Warmth</t>
        </is>
      </c>
      <c r="H4" s="6" t="inlineStr">
        <is>
          <t>Score</t>
        </is>
      </c>
    </row>
    <row r="5">
      <c r="A5" s="7" t="inlineStr">
        <is>
          <t>Municipal &amp; local government</t>
        </is>
      </c>
      <c r="B5" s="7" t="inlineStr">
        <is>
          <t>Town/city managers, finance directors, DPW, select boards</t>
        </is>
      </c>
      <c r="C5" s="7" t="inlineStr">
        <is>
          <t>Your best work lives in one person's head — and the grant window closes before anyone's ready.</t>
        </is>
      </c>
      <c r="D5" s="7" t="inlineStr">
        <is>
          <t>Stewardship Map</t>
        </is>
      </c>
      <c r="E5" s="7" t="inlineStr">
        <is>
          <t>CDBG · state revolving funds · EDA · state municipal grants</t>
        </is>
      </c>
      <c r="F5" s="9" t="n">
        <v>5</v>
      </c>
      <c r="G5" s="9" t="n">
        <v>5</v>
      </c>
      <c r="H5" s="10">
        <f>IF(AND(ISNUMBER(F5),ISNUMBER(G5)),F5*G5,"")</f>
        <v/>
      </c>
    </row>
    <row r="6">
      <c r="A6" s="7" t="inlineStr">
        <is>
          <t>Waste / recycling / circular economy</t>
        </is>
      </c>
      <c r="B6" s="7" t="inlineStr">
        <is>
          <t>Recycling authorities, MRF operators, haulers, county solid-waste</t>
        </is>
      </c>
      <c r="C6" s="7" t="inlineStr">
        <is>
          <t>You have feedstock and a buyer somewhere — but the permits and the state grant stack are a maze.</t>
        </is>
      </c>
      <c r="D6" s="7" t="inlineStr">
        <is>
          <t>Funding Landscape + Permit &amp; Bridge</t>
        </is>
      </c>
      <c r="E6" s="7" t="inlineStr">
        <is>
          <t>State materials-mgmt grants · EPA SWIFR/recycling · scrap-tire · 45Z (if fuel)</t>
        </is>
      </c>
      <c r="F6" s="9" t="n">
        <v>5</v>
      </c>
      <c r="G6" s="9" t="n">
        <v>5</v>
      </c>
      <c r="H6" s="10">
        <f>IF(AND(ISNUMBER(F6),ISNUMBER(G6)),F6*G6,"")</f>
        <v/>
      </c>
    </row>
    <row r="7">
      <c r="A7" s="7" t="inlineStr">
        <is>
          <t>Clean energy / biofuels / SAF</t>
        </is>
      </c>
      <c r="B7" s="7" t="inlineStr">
        <is>
          <t>Developers, equipment/tech cos, fuel producers</t>
        </is>
      </c>
      <c r="C7" s="7" t="inlineStr">
        <is>
          <t>The credit stack is worth millions and nobody has mapped 45Z + RFS + 48C + the university piece together.</t>
        </is>
      </c>
      <c r="D7" s="7" t="inlineStr">
        <is>
          <t>Funding Landscape + STTR partnership</t>
        </is>
      </c>
      <c r="E7" s="7" t="inlineStr">
        <is>
          <t>45Z · 45Q · 48C · DOE BETO · USDA · RFS RINs</t>
        </is>
      </c>
      <c r="F7" s="9" t="n">
        <v>5</v>
      </c>
      <c r="G7" s="9" t="n">
        <v>5</v>
      </c>
      <c r="H7" s="10">
        <f>IF(AND(ISNUMBER(F7),ISNUMBER(G7)),F7*G7,"")</f>
        <v/>
      </c>
    </row>
    <row r="8">
      <c r="A8" s="7" t="inlineStr">
        <is>
          <t>Brownfield &amp; redevelopment</t>
        </is>
      </c>
      <c r="B8" s="7" t="inlineStr">
        <is>
          <t>Municipalities, brownfield authorities (BRAs), developers</t>
        </is>
      </c>
      <c r="C8" s="7" t="inlineStr">
        <is>
          <t>An idle, contaminated site and four funding tools that only work if someone aligns them.</t>
        </is>
      </c>
      <c r="D8" s="7" t="inlineStr">
        <is>
          <t>Permit &amp; Bridge + Funding Landscape</t>
        </is>
      </c>
      <c r="E8" s="7" t="inlineStr">
        <is>
          <t>EPA Brownfields · state brownfield · Act 381-type TIF · NMTC</t>
        </is>
      </c>
      <c r="F8" s="9" t="n">
        <v>5</v>
      </c>
      <c r="G8" s="9" t="n">
        <v>4</v>
      </c>
      <c r="H8" s="10">
        <f>IF(AND(ISNUMBER(F8),ISNUMBER(G8)),F8*G8,"")</f>
        <v/>
      </c>
    </row>
    <row r="9">
      <c r="A9" s="7" t="inlineStr">
        <is>
          <t>Rural &amp; agriculture</t>
        </is>
      </c>
      <c r="B9" s="7" t="inlineStr">
        <is>
          <t>Rural project SPVs, ag operators, co-ops, small manufacturers</t>
        </is>
      </c>
      <c r="C9" s="7" t="inlineStr">
        <is>
          <t>USDA is a maze; the grants froze but the guarantees are open — you need someone who knows which door is which.</t>
        </is>
      </c>
      <c r="D9" s="7" t="inlineStr">
        <is>
          <t>Funding Landscape</t>
        </is>
      </c>
      <c r="E9" s="7" t="inlineStr">
        <is>
          <t>USDA B&amp;I guarantee · Wood Innovations · REAP loan guarantee · state ag</t>
        </is>
      </c>
      <c r="F9" s="9" t="n">
        <v>4</v>
      </c>
      <c r="G9" s="9" t="n">
        <v>4</v>
      </c>
      <c r="H9" s="10">
        <f>IF(AND(ISNUMBER(F9),ISNUMBER(G9)),F9*G9,"")</f>
        <v/>
      </c>
    </row>
    <row r="10">
      <c r="A10" s="7" t="inlineStr">
        <is>
          <t>Water / wastewater utilities</t>
        </is>
      </c>
      <c r="B10" s="7" t="inlineStr">
        <is>
          <t>Utility directors, DPW, water/sewer districts</t>
        </is>
      </c>
      <c r="C10" s="7" t="inlineStr">
        <is>
          <t>A capital plan you can't fund and an SRF/WIFIA process no one has time to run.</t>
        </is>
      </c>
      <c r="D10" s="7" t="inlineStr">
        <is>
          <t>Stewardship Map + Funding Landscape</t>
        </is>
      </c>
      <c r="E10" s="7" t="inlineStr">
        <is>
          <t>CWSRF / DWSRF · EPA WIFIA · USDA water · state</t>
        </is>
      </c>
      <c r="F10" s="9" t="n">
        <v>4</v>
      </c>
      <c r="G10" s="9" t="n">
        <v>3</v>
      </c>
      <c r="H10" s="10">
        <f>IF(AND(ISNUMBER(F10),ISNUMBER(G10)),F10*G10,"")</f>
        <v/>
      </c>
    </row>
    <row r="11">
      <c r="A11" s="7" t="inlineStr">
        <is>
          <t>Housing &amp; community development</t>
        </is>
      </c>
      <c r="B11" s="7" t="inlineStr">
        <is>
          <t>CDCs, housing authorities, municipalities</t>
        </is>
      </c>
      <c r="C11" s="7" t="inlineStr">
        <is>
          <t>A capital stack five layers deep and a predevelopment gap that kills good projects.</t>
        </is>
      </c>
      <c r="D11" s="7" t="inlineStr">
        <is>
          <t>Permit &amp; Bridge + Funding Landscape</t>
        </is>
      </c>
      <c r="E11" s="7" t="inlineStr">
        <is>
          <t>CDBG · HOME · NMTC · state housing · FHLB</t>
        </is>
      </c>
      <c r="F11" s="9" t="n">
        <v>4</v>
      </c>
      <c r="G11" s="9" t="n">
        <v>3</v>
      </c>
      <c r="H11" s="10">
        <f>IF(AND(ISNUMBER(F11),ISNUMBER(G11)),F11*G11,"")</f>
        <v/>
      </c>
    </row>
    <row r="12">
      <c r="A12" s="7" t="inlineStr">
        <is>
          <t>Higher ed / research partnerships</t>
        </is>
      </c>
      <c r="B12" s="7" t="inlineStr">
        <is>
          <t>University research &amp; tech-transfer offices, startups</t>
        </is>
      </c>
      <c r="C12" s="7" t="inlineStr">
        <is>
          <t>A real technology and a real university — but no one has built the SBIR/STTR structure or the adoption path.</t>
        </is>
      </c>
      <c r="D12" s="7" t="inlineStr">
        <is>
          <t>STTR partnership ($2,500 grant-fit)</t>
        </is>
      </c>
      <c r="E12" s="7" t="inlineStr">
        <is>
          <t>SBIR / STTR (thru FY2031) · state match</t>
        </is>
      </c>
      <c r="F12" s="9" t="n">
        <v>4</v>
      </c>
      <c r="G12" s="9" t="n">
        <v>4</v>
      </c>
      <c r="H12" s="10">
        <f>IF(AND(ISNUMBER(F12),ISNUMBER(G12)),F12*G12,"")</f>
        <v/>
      </c>
    </row>
    <row r="13">
      <c r="A13" s="7" t="inlineStr">
        <is>
          <t>Economic development / small mfg</t>
        </is>
      </c>
      <c r="B13" s="7" t="inlineStr">
        <is>
          <t>EDOs, small manufacturers, MSF-type programs</t>
        </is>
      </c>
      <c r="C13" s="7" t="inlineStr">
        <is>
          <t>Site readiness, incentives, and workforce money that only shows up if you engage before you announce.</t>
        </is>
      </c>
      <c r="D13" s="7" t="inlineStr">
        <is>
          <t>Funding Landscape</t>
        </is>
      </c>
      <c r="E13" s="7" t="inlineStr">
        <is>
          <t>State business-dev grants · 48C · workforce funds · EDA</t>
        </is>
      </c>
      <c r="F13" s="9" t="n">
        <v>4</v>
      </c>
      <c r="G13" s="9" t="n">
        <v>3</v>
      </c>
      <c r="H13" s="10">
        <f>IF(AND(ISNUMBER(F13),ISNUMBER(G13)),F13*G13,"")</f>
        <v/>
      </c>
    </row>
    <row r="14">
      <c r="A14" s="7" t="inlineStr">
        <is>
          <t>Broadband / digital equity</t>
        </is>
      </c>
      <c r="B14" s="7" t="inlineStr">
        <is>
          <t>Municipalities, regional broadband authorities</t>
        </is>
      </c>
      <c r="C14" s="7" t="inlineStr">
        <is>
          <t>BEAD and digital-equity money with a coordination problem attached.</t>
        </is>
      </c>
      <c r="D14" s="7" t="inlineStr">
        <is>
          <t>Permit &amp; Bridge + Funding</t>
        </is>
      </c>
      <c r="E14" s="7" t="inlineStr">
        <is>
          <t>BEAD · state digital equity · CDBG</t>
        </is>
      </c>
      <c r="F14" s="9" t="n">
        <v>3</v>
      </c>
      <c r="G14" s="9" t="n">
        <v>2</v>
      </c>
      <c r="H14" s="10">
        <f>IF(AND(ISNUMBER(F14),ISNUMBER(G14)),F14*G14,"")</f>
        <v/>
      </c>
    </row>
    <row r="15">
      <c r="A15" s="7" t="inlineStr">
        <is>
          <t>Long-term care / human services</t>
        </is>
      </c>
      <c r="B15" s="7" t="inlineStr">
        <is>
          <t>Multi-site care orgs, human-services nonprofits</t>
        </is>
      </c>
      <c r="C15" s="7" t="inlineStr">
        <is>
          <t>A strong start that doesn't stick — new practices and staff buy-in fade once the launch is over.</t>
        </is>
      </c>
      <c r="D15" s="7" t="inlineStr">
        <is>
          <t>Stewardship Map + Capacity Support</t>
        </is>
      </c>
      <c r="E15" s="7" t="inlineStr">
        <is>
          <t>State/federal HHS · foundation grants</t>
        </is>
      </c>
      <c r="F15" s="9" t="n">
        <v>3</v>
      </c>
      <c r="G15" s="9" t="n">
        <v>3</v>
      </c>
      <c r="H15" s="10">
        <f>IF(AND(ISNUMBER(F15),ISNUMBER(G15)),F15*G15,"")</f>
        <v/>
      </c>
    </row>
    <row r="17">
      <c r="A17" s="11" t="inlineStr">
        <is>
          <t>Fit = how well our method solves it (1–5). Warmth = how close we are to a real buyer today (1–5). Funding instruments are illustrative and MUST be re-verified per the Engine tab — the federal layer shifts (e.g., REAP grants frozen, EJ programs terminated, 45Z/45Q expanded under OBBBA).</t>
        </is>
      </c>
    </row>
    <row r="18"/>
  </sheetData>
  <mergeCells count="1">
    <mergeCell ref="A17:H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  <col width="42" customWidth="1" min="4" max="4"/>
  </cols>
  <sheetData>
    <row r="1">
      <c r="A1" s="5" t="inlineStr">
        <is>
          <t>Channels &amp; Partners — The Multiplier</t>
        </is>
      </c>
    </row>
    <row r="2">
      <c r="A2" s="2" t="inlineStr">
        <is>
          <t>Two people don't cold-call a nation. We grow through partners who bring the deals to us.</t>
        </is>
      </c>
    </row>
    <row r="4">
      <c r="A4" s="6" t="inlineStr">
        <is>
          <t>Channel</t>
        </is>
      </c>
      <c r="B4" s="6" t="inlineStr">
        <is>
          <t>What they bring</t>
        </is>
      </c>
      <c r="C4" s="6" t="inlineStr">
        <is>
          <t>What we give them</t>
        </is>
      </c>
      <c r="D4" s="6" t="inlineStr">
        <is>
          <t>How to engage</t>
        </is>
      </c>
    </row>
    <row r="5">
      <c r="A5" s="7" t="inlineStr">
        <is>
          <t>Regional planning agencies / COGs (via NARC nationally)</t>
        </is>
      </c>
      <c r="B5" s="7" t="inlineStr">
        <is>
          <t>Member towns with capacity gaps and stalled projects</t>
        </is>
      </c>
      <c r="C5" s="7" t="inlineStr">
        <is>
          <t>A continuity + funding capability their members need; they look good</t>
        </is>
      </c>
      <c r="D5" s="7" t="inlineStr">
        <is>
          <t>Offer a Funding Landscape or Map for a member town; become the referral name</t>
        </is>
      </c>
    </row>
    <row r="6">
      <c r="A6" s="7" t="inlineStr">
        <is>
          <t>Engineering / A&amp;E firms</t>
        </is>
      </c>
      <c r="B6" s="7" t="inlineStr">
        <is>
          <t>Clients mid-project who need the funding + continuity layer</t>
        </is>
      </c>
      <c r="C6" s="7" t="inlineStr">
        <is>
          <t>The piece next to their design — 'they build it, we make sure the town can carry it and fund it'</t>
        </is>
      </c>
      <c r="D6" s="7" t="inlineStr">
        <is>
          <t>Partner on a shared client; take the handoff/continuity slice</t>
        </is>
      </c>
    </row>
    <row r="7">
      <c r="A7" s="7" t="inlineStr">
        <is>
          <t>Municipal management consultancies</t>
        </is>
      </c>
      <c r="B7" s="7" t="inlineStr">
        <is>
          <t>Overflow and the stewardship work they don't do</t>
        </is>
      </c>
      <c r="C7" s="7" t="inlineStr">
        <is>
          <t>A specialist subcontractor for continuity &amp; funding</t>
        </is>
      </c>
      <c r="D7" s="7" t="inlineStr">
        <is>
          <t>White-label or co-deliver</t>
        </is>
      </c>
    </row>
    <row r="8">
      <c r="A8" s="7" t="inlineStr">
        <is>
          <t>Universities / research offices</t>
        </is>
      </c>
      <c r="B8" s="7" t="inlineStr">
        <is>
          <t>SBIR/STTR partner pipeline; independent-validation credibility</t>
        </is>
      </c>
      <c r="C8" s="7" t="inlineStr">
        <is>
          <t>Applicants who need the grant built and the adoption plan (Allie)</t>
        </is>
      </c>
      <c r="D8" s="7" t="inlineStr">
        <is>
          <t>The WasteWerx/UCF model, repeated</t>
        </is>
      </c>
    </row>
    <row r="9">
      <c r="A9" s="7" t="inlineStr">
        <is>
          <t>CDEs (NMTC) &amp; mission lenders</t>
        </is>
      </c>
      <c r="B9" s="7" t="inlineStr">
        <is>
          <t>Community-project deal flow needing readiness</t>
        </is>
      </c>
      <c r="C9" s="7" t="inlineStr">
        <is>
          <t>Ready, well-structured deals</t>
        </is>
      </c>
      <c r="D9" s="7" t="inlineStr">
        <is>
          <t>Open pipeline conversations; be the readiness partner</t>
        </is>
      </c>
    </row>
    <row r="10">
      <c r="A10" s="7" t="inlineStr">
        <is>
          <t>USDA-approved lenders</t>
        </is>
      </c>
      <c r="B10" s="7" t="inlineStr">
        <is>
          <t>B&amp;I / guarantee deals that need readiness and a funding stack</t>
        </is>
      </c>
      <c r="C10" s="7" t="inlineStr">
        <is>
          <t>Borrowers who are actually ready</t>
        </is>
      </c>
      <c r="D10" s="7" t="inlineStr">
        <is>
          <t>Engage at the financing stage</t>
        </is>
      </c>
    </row>
    <row r="11">
      <c r="A11" s="7" t="inlineStr">
        <is>
          <t>Economic development orgs / IEDC network</t>
        </is>
      </c>
      <c r="B11" s="7" t="inlineStr">
        <is>
          <t>Site + incentive projects</t>
        </is>
      </c>
      <c r="C11" s="7" t="inlineStr">
        <is>
          <t>Grant + continuity capacity</t>
        </is>
      </c>
      <c r="D11" s="7" t="inlineStr">
        <is>
          <t>Join the network; be the funding-map specialist</t>
        </is>
      </c>
    </row>
    <row r="12">
      <c r="A12" s="7" t="inlineStr">
        <is>
          <t>Technology / equipment vendors (e.g., WasteWerx)</t>
        </is>
      </c>
      <c r="B12" s="7" t="inlineStr">
        <is>
          <t>Project sponsors who need funding + permitting to buy/deploy</t>
        </is>
      </c>
      <c r="C12" s="7" t="inlineStr">
        <is>
          <t>A partner who gets their customers funded and sited</t>
        </is>
      </c>
      <c r="D12" s="7" t="inlineStr">
        <is>
          <t>Bundle a Funding Landscape into their sales motion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6" customWidth="1" min="1" max="1"/>
    <col width="64" customWidth="1" min="2" max="2"/>
  </cols>
  <sheetData>
    <row r="1">
      <c r="A1" s="5" t="inlineStr">
        <is>
          <t>The Funding-Landscape Engine — Our National IP</t>
        </is>
      </c>
    </row>
    <row r="2">
      <c r="A2" s="2" t="inlineStr">
        <is>
          <t>The repeatable deliverable that makes national possible. Michigan v5.1 is the reference build.</t>
        </is>
      </c>
    </row>
    <row r="4">
      <c r="A4" s="12" t="inlineStr">
        <is>
          <t>What it is: a per-project map of the ENTIRE instrument stack — state grants, federal grants, tax credits, loans/guarantees, and local tools (TIF, brownfield) — each one status-controlled and sequenced against the project's stages.</t>
        </is>
      </c>
    </row>
    <row r="5">
      <c r="A5" s="12" t="inlineStr"/>
    </row>
    <row r="6">
      <c r="A6" s="12" t="inlineStr">
        <is>
          <t>Why it's the unlock: every sector and every state has a stack this deep, and almost no one maps it or sequences it. That's the gap PublicLogic fills anywhere in the country, without needing local staff.</t>
        </is>
      </c>
    </row>
    <row r="7">
      <c r="A7" s="12" t="inlineStr"/>
    </row>
    <row r="8">
      <c r="A8" s="12" t="inlineStr">
        <is>
          <t>Productize it: sell the Funding Landscape as a paid deliverable (scoped like a Diagnostic). It stands alone, it de-risks the client's next decision, and it becomes the reason they buy the Map, the Permit &amp; Bridge work, and the implementation that follows.</t>
        </is>
      </c>
    </row>
    <row r="9">
      <c r="A9" s="12" t="inlineStr"/>
    </row>
    <row r="11">
      <c r="A11" s="8" t="inlineStr">
        <is>
          <t>THE DISCIPLINE THAT MAKES IT DEFENSIBLE</t>
        </is>
      </c>
    </row>
    <row r="12">
      <c r="A12" s="6" t="inlineStr">
        <is>
          <t>Rule</t>
        </is>
      </c>
      <c r="B12" s="6" t="inlineStr">
        <is>
          <t>Why it matters</t>
        </is>
      </c>
    </row>
    <row r="13">
      <c r="A13" s="7" t="inlineStr">
        <is>
          <t>Verify every program against agency sources, dated</t>
        </is>
      </c>
      <c r="B13" s="7" t="inlineStr">
        <is>
          <t>Credibility; the map is only worth what its sourcing is worth</t>
        </is>
      </c>
    </row>
    <row r="14">
      <c r="A14" s="7" t="inlineStr">
        <is>
          <t>Controlled status vocabulary (Active → Terminated)</t>
        </is>
      </c>
      <c r="B14" s="7" t="inlineStr">
        <is>
          <t>Everyone reads the same word the same way; nothing overclaimed</t>
        </is>
      </c>
    </row>
    <row r="15">
      <c r="A15" s="7" t="inlineStr">
        <is>
          <t>Internal vs external citation rules</t>
        </is>
      </c>
      <c r="B15" s="7" t="inlineStr">
        <is>
          <t>Terminated/Frozen never appears in a client or funder submission</t>
        </is>
      </c>
    </row>
    <row r="16">
      <c r="A16" s="7" t="inlineStr">
        <is>
          <t>Investor economics never touch a public submission (FOIA)</t>
        </is>
      </c>
      <c r="B16" s="7" t="inlineStr">
        <is>
          <t>Protects the client and us</t>
        </is>
      </c>
    </row>
    <row r="17">
      <c r="A17" s="7" t="inlineStr">
        <is>
          <t>Re-verify on a schedule — the federal layer shifts</t>
        </is>
      </c>
      <c r="B17" s="7" t="inlineStr">
        <is>
          <t>REAP grants frozen · EJ programs terminated · 45Z/45Q expanded (OBBBA). Re-verification is recurring revenue.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52" customWidth="1" min="3" max="3"/>
    <col width="40" customWidth="1" min="4" max="4"/>
  </cols>
  <sheetData>
    <row r="1">
      <c r="A1" s="5" t="inlineStr">
        <is>
          <t>The 36-Month Plan</t>
        </is>
      </c>
    </row>
    <row r="2">
      <c r="A2" s="2" t="inlineStr">
        <is>
          <t>Deepen, then expand by sector, then go national by opportunity. Never by map coverage.</t>
        </is>
      </c>
    </row>
    <row r="4">
      <c r="A4" s="6" t="inlineStr">
        <is>
          <t>Horizon</t>
        </is>
      </c>
      <c r="B4" s="6" t="inlineStr">
        <is>
          <t>Focus</t>
        </is>
      </c>
      <c r="C4" s="6" t="inlineStr">
        <is>
          <t>Concrete moves</t>
        </is>
      </c>
      <c r="D4" s="6" t="inlineStr">
        <is>
          <t>Revenue logic</t>
        </is>
      </c>
    </row>
    <row r="5">
      <c r="A5" s="7" t="inlineStr">
        <is>
          <t>0–12 months</t>
        </is>
      </c>
      <c r="B5" s="7" t="inlineStr">
        <is>
          <t>Deepen home + active deal</t>
        </is>
      </c>
      <c r="C5" s="7" t="inlineStr">
        <is>
          <t>Sell Maps + Funding Landscapes across the warm MA network; carry Michigan LTC through Challenge #4 and the credit stack; productize the Funding Landscape offer.</t>
        </is>
      </c>
      <c r="D5" s="7" t="inlineStr">
        <is>
          <t>A handful of Maps + 1–2 Funding Landscapes + the LTC engagement. Prove the product.</t>
        </is>
      </c>
    </row>
    <row r="6">
      <c r="A6" s="7" t="inlineStr">
        <is>
          <t>12–24 months</t>
        </is>
      </c>
      <c r="B6" s="7" t="inlineStr">
        <is>
          <t>Expand by sector, not geography</t>
        </is>
      </c>
      <c r="C6" s="7" t="inlineStr">
        <is>
          <t>Follow waste/recovery, brownfield, and clean-fuel deals into 2–3 more states where a warm deal or channel partner already exists; stand up 2–3 channel relationships (an RPC network, a university, a vendor).</t>
        </is>
      </c>
      <c r="D6" s="7" t="inlineStr">
        <is>
          <t>Repeatable Funding-Landscape + Sprint revenue; first channel-sourced deals; one recurring re-verification retainer.</t>
        </is>
      </c>
    </row>
    <row r="7">
      <c r="A7" s="7" t="inlineStr">
        <is>
          <t>24–36 months</t>
        </is>
      </c>
      <c r="B7" s="7" t="inlineStr">
        <is>
          <t>National by opportunity</t>
        </is>
      </c>
      <c r="C7" s="7" t="inlineStr">
        <is>
          <t>Go where a channel partner or a fundable project pulls us — nationally, sector by sector. Consider a first hire or associate only if productized demand demands it.</t>
        </is>
      </c>
      <c r="D7" s="7" t="inlineStr">
        <is>
          <t>Diversified pipeline across 4–5 sectors and several states; recurring landscape/monitoring revenue as the base.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5" t="inlineStr">
        <is>
          <t>Guardrails — How We Don't Blow It</t>
        </is>
      </c>
    </row>
    <row r="2">
      <c r="A2" s="2" t="inlineStr">
        <is>
          <t>National ambition, disciplined execution. These keep the expansion from diluting the firm.</t>
        </is>
      </c>
    </row>
    <row r="4">
      <c r="A4" s="12" t="inlineStr">
        <is>
          <t>—  Don't dilute the wedge. Municipal + the proof sectors lead. New sectors are adjacent, not scattershot.</t>
        </is>
      </c>
    </row>
    <row r="6">
      <c r="A6" s="12" t="inlineStr">
        <is>
          <t>—  Capacity is the constraint. Two people. Scale through products and partners, never headcount or geographic sprawl.</t>
        </is>
      </c>
    </row>
    <row r="8">
      <c r="A8" s="12" t="inlineStr">
        <is>
          <t>—  Fees stay non-contingent, everywhere. Never a cut of an award; never contingent on a decision.</t>
        </is>
      </c>
    </row>
    <row r="10">
      <c r="A10" s="12" t="inlineStr">
        <is>
          <t>—  The language guardrails still apply. No 'AI transformation,' no 'platform,' no hype — nationally as locally.</t>
        </is>
      </c>
    </row>
    <row r="12">
      <c r="A12" s="12" t="inlineStr">
        <is>
          <t>—  Never build a plan on one program. The stack + scheduled re-verification is the hedge against federal volatility.</t>
        </is>
      </c>
    </row>
    <row r="14">
      <c r="A14" s="12" t="inlineStr">
        <is>
          <t>—  Public submissions stay clean. Investor economics never touch a public/EGLE-type filing (FOIA).</t>
        </is>
      </c>
    </row>
    <row r="16">
      <c r="A16" s="12" t="inlineStr">
        <is>
          <t>—  Confidentiality across deals is absolute. What we learn in one engagement never leaks into another.</t>
        </is>
      </c>
    </row>
    <row r="18">
      <c r="A18" s="12" t="inlineStr">
        <is>
          <t>—  Follow warm deals and channel partners — not the map. Coverage is a vanity metric; a fundable project is not.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4" customWidth="1" min="3" max="3"/>
    <col width="12" customWidth="1" min="4" max="4"/>
    <col width="30" customWidth="1" min="5" max="5"/>
    <col width="40" customWidth="1" min="6" max="6"/>
    <col width="16" customWidth="1" min="7" max="7"/>
  </cols>
  <sheetData>
    <row r="1">
      <c r="A1" s="5" t="inlineStr">
        <is>
          <t>Outreach Tracker (live)</t>
        </is>
      </c>
    </row>
    <row r="2">
      <c r="A2" s="2" t="inlineStr">
        <is>
          <t>One row per real target. Fill it as you go; sort by Warmth. Yellow = you edit.</t>
        </is>
      </c>
    </row>
    <row r="4">
      <c r="A4" s="6" t="inlineStr">
        <is>
          <t>Sector</t>
        </is>
      </c>
      <c r="B4" s="6" t="inlineStr">
        <is>
          <t>Target org</t>
        </is>
      </c>
      <c r="C4" s="6" t="inlineStr">
        <is>
          <t>Contact / role</t>
        </is>
      </c>
      <c r="D4" s="6" t="inlineStr">
        <is>
          <t>Warmth (1–5)</t>
        </is>
      </c>
      <c r="E4" s="6" t="inlineStr">
        <is>
          <t>Entry offer</t>
        </is>
      </c>
      <c r="F4" s="6" t="inlineStr">
        <is>
          <t>Next action</t>
        </is>
      </c>
      <c r="G4" s="6" t="inlineStr">
        <is>
          <t>Status</t>
        </is>
      </c>
    </row>
    <row r="5">
      <c r="A5" s="7" t="inlineStr">
        <is>
          <t>Municipal</t>
        </is>
      </c>
      <c r="B5" s="13" t="inlineStr">
        <is>
          <t>Warm MA network (Sutton / Shrewsbury / Phillipston)</t>
        </is>
      </c>
      <c r="C5" s="13" t="inlineStr">
        <is>
          <t>Known contacts</t>
        </is>
      </c>
      <c r="D5" s="13" t="inlineStr">
        <is>
          <t>5</t>
        </is>
      </c>
      <c r="E5" s="7" t="inlineStr">
        <is>
          <t>Stewardship Map</t>
        </is>
      </c>
      <c r="F5" s="13" t="inlineStr">
        <is>
          <t>Book the Map on one stalled function</t>
        </is>
      </c>
      <c r="G5" s="13" t="inlineStr">
        <is>
          <t>Warm</t>
        </is>
      </c>
    </row>
    <row r="6">
      <c r="A6" s="7" t="inlineStr">
        <is>
          <t>Regional planning</t>
        </is>
      </c>
      <c r="B6" s="13" t="inlineStr">
        <is>
          <t>CMRPC</t>
        </is>
      </c>
      <c r="C6" s="13" t="inlineStr">
        <is>
          <t>Dir. / econ-dev staff</t>
        </is>
      </c>
      <c r="D6" s="13" t="inlineStr">
        <is>
          <t>3</t>
        </is>
      </c>
      <c r="E6" s="7" t="inlineStr">
        <is>
          <t>Funding Landscape (member town)</t>
        </is>
      </c>
      <c r="F6" s="13" t="inlineStr">
        <is>
          <t>Intro call</t>
        </is>
      </c>
      <c r="G6" s="13" t="inlineStr">
        <is>
          <t>Developing</t>
        </is>
      </c>
    </row>
    <row r="7">
      <c r="A7" s="7" t="inlineStr">
        <is>
          <t>Waste / circular</t>
        </is>
      </c>
      <c r="B7" s="13" t="inlineStr">
        <is>
          <t>Michigan LTC corridor</t>
        </is>
      </c>
      <c r="C7" s="13" t="inlineStr">
        <is>
          <t>Robert / Glenn</t>
        </is>
      </c>
      <c r="D7" s="13" t="inlineStr">
        <is>
          <t>5</t>
        </is>
      </c>
      <c r="E7" s="7" t="inlineStr">
        <is>
          <t>Challenge #4 + Funding Landscape</t>
        </is>
      </c>
      <c r="F7" s="13" t="inlineStr">
        <is>
          <t>Clear LARA + Lincoln + letters</t>
        </is>
      </c>
      <c r="G7" s="13" t="inlineStr">
        <is>
          <t>Active</t>
        </is>
      </c>
    </row>
    <row r="8">
      <c r="A8" s="7" t="inlineStr">
        <is>
          <t>Clean fuel / research</t>
        </is>
      </c>
      <c r="B8" s="13" t="inlineStr">
        <is>
          <t>WasteWerx / UCF</t>
        </is>
      </c>
      <c r="C8" s="13" t="inlineStr">
        <is>
          <t>Vincent</t>
        </is>
      </c>
      <c r="D8" s="13" t="inlineStr">
        <is>
          <t>4</t>
        </is>
      </c>
      <c r="E8" s="7" t="inlineStr">
        <is>
          <t>STTR partnership</t>
        </is>
      </c>
      <c r="F8" s="13" t="inlineStr">
        <is>
          <t>Send one-pager; 1pm call</t>
        </is>
      </c>
      <c r="G8" s="13" t="inlineStr">
        <is>
          <t>Active</t>
        </is>
      </c>
    </row>
    <row r="9">
      <c r="A9" s="7" t="inlineStr">
        <is>
          <t>Brownfield</t>
        </is>
      </c>
      <c r="B9" s="13" t="inlineStr">
        <is>
          <t>(target BRA / developer)</t>
        </is>
      </c>
      <c r="C9" s="13" t="inlineStr">
        <is>
          <t>—</t>
        </is>
      </c>
      <c r="D9" s="13" t="inlineStr">
        <is>
          <t>2</t>
        </is>
      </c>
      <c r="E9" s="7" t="inlineStr">
        <is>
          <t>Permit &amp; Bridge + Funding</t>
        </is>
      </c>
      <c r="F9" s="13" t="inlineStr">
        <is>
          <t>Identify a warm site</t>
        </is>
      </c>
      <c r="G9" s="13" t="inlineStr">
        <is>
          <t>Prospect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2026-07-02T10:42:02Z</dcterms:created>
  <dcterms:modified xmlns:dcterms="http://purl.org/dc/terms/" xmlns:xsi="http://www.w3.org/2001/XMLSchema-instance" xsi:type="dcterms:W3CDTF">2026-07-02T10:42:02Z</dcterms:modified>
</cp:coreProperties>
</file>