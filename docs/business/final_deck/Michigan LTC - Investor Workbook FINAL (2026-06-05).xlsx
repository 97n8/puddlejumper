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conomics" sheetId="3" state="visible" r:id="rId3"/>
    <sheet xmlns:r="http://schemas.openxmlformats.org/officeDocument/2006/relationships" name="Capital &amp; Raises" sheetId="4" state="visible" r:id="rId4"/>
    <sheet xmlns:r="http://schemas.openxmlformats.org/officeDocument/2006/relationships" name="Grant Stack" sheetId="5" state="visible" r:id="rId5"/>
    <sheet xmlns:r="http://schemas.openxmlformats.org/officeDocument/2006/relationships" name="Caveats &amp; Open Items" sheetId="6" state="visible" r:id="rId6"/>
    <sheet xmlns:r="http://schemas.openxmlformats.org/officeDocument/2006/relationships" name="Documents on 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7202B"/>
      <sz val="15"/>
    </font>
    <font>
      <b val="1"/>
      <color rgb="008A6A2F"/>
      <sz val="11"/>
    </font>
    <font/>
    <font>
      <b val="1"/>
    </font>
    <font>
      <b val="1"/>
      <color rgb="008A6A2F"/>
      <sz val="10"/>
    </font>
    <font>
      <b val="1"/>
      <color rgb="00FFFFFF"/>
      <sz val="11"/>
    </font>
    <font>
      <i val="1"/>
      <color rgb="006B6258"/>
      <sz val="9"/>
    </font>
    <font>
      <b val="1"/>
      <color rgb="00888888"/>
      <sz val="9"/>
    </font>
    <font>
      <i val="1"/>
      <color rgb="007A7166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7202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2" borderId="0" pivotButton="0" quotePrefix="0" xfId="0"/>
    <xf numFmtId="0" fontId="0" fillId="3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1" applyAlignment="1" pivotButton="0" quotePrefix="0" xfId="0">
      <alignment vertical="center" wrapText="1"/>
    </xf>
    <xf numFmtId="0" fontId="8" fillId="0" borderId="0" pivotButton="0" quotePrefix="0" xfId="0"/>
    <xf numFmtId="3" fontId="0" fillId="3" borderId="1" pivotButton="0" quotePrefix="0" xfId="0"/>
    <xf numFmtId="0" fontId="9" fillId="0" borderId="0" pivotButton="0" quotePrefix="0" xfId="0"/>
    <xf numFmtId="1" fontId="0" fillId="3" borderId="1" pivotButton="0" quotePrefix="0" xfId="0"/>
    <xf numFmtId="2" fontId="0" fillId="3" borderId="1" pivotButton="0" quotePrefix="0" xfId="0"/>
    <xf numFmtId="0" fontId="5" fillId="0" borderId="0" pivotButton="0" quotePrefix="0" xfId="0"/>
    <xf numFmtId="0" fontId="0" fillId="0" borderId="1" pivotButton="0" quotePrefix="0" xfId="0"/>
    <xf numFmtId="3" fontId="0" fillId="4" borderId="1" pivotButton="0" quotePrefix="0" xfId="0"/>
    <xf numFmtId="3" fontId="0" fillId="5" borderId="1" pivotButton="0" quotePrefix="0" xfId="0"/>
    <xf numFmtId="3" fontId="4" fillId="4" borderId="0" pivotButton="0" quotePrefix="0" xfId="0"/>
    <xf numFmtId="3" fontId="4" fillId="5" borderId="0" pivotButton="0" quotePrefix="0" xfId="0"/>
    <xf numFmtId="3" fontId="10" fillId="4" borderId="0" pivotButton="0" quotePrefix="0" xfId="0"/>
    <xf numFmtId="3" fontId="0" fillId="0" borderId="1" pivotButton="0" quotePrefix="0" xfId="0"/>
    <xf numFmtId="0" fontId="4" fillId="0" borderId="1" pivotButton="0" quotePrefix="0" xfId="0"/>
    <xf numFmtId="3" fontId="4" fillId="4" borderId="1" pivotButton="0" quotePrefix="0" xfId="0"/>
    <xf numFmtId="3" fontId="4" fillId="5" borderId="1" pivotButton="0" quotePrefix="0" xfId="0"/>
    <xf numFmtId="0" fontId="9" fillId="0" borderId="0" applyAlignment="1" pivotButton="0" quotePrefix="0" xfId="0">
      <alignment vertical="top" wrapText="1"/>
    </xf>
    <xf numFmtId="3" fontId="4" fillId="0" borderId="1" pivotButton="0" quotePrefix="0" xfId="0"/>
    <xf numFmtId="0" fontId="0" fillId="0" borderId="1" applyAlignment="1" pivotButton="0" quotePrefix="0" xfId="0">
      <alignment vertical="top" wrapText="1"/>
    </xf>
    <xf numFmtId="3" fontId="4" fillId="0" borderId="0" pivotButton="0" quotePrefix="0" xfId="0"/>
    <xf numFmtId="3" fontId="0" fillId="5" borderId="0" pivotButton="0" quotePrefix="0" xfId="0"/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Michigan LTC Network — Resource Recovery Corridor</t>
        </is>
      </c>
    </row>
    <row r="2">
      <c r="A2" s="2" t="inlineStr">
        <is>
          <t>Investor &amp; Partner Workbook  ·  to be read with the Private Investor Deck</t>
        </is>
      </c>
    </row>
    <row r="4">
      <c r="A4" s="3" t="inlineStr"/>
      <c r="B4" s="4" t="inlineStr"/>
    </row>
    <row r="5">
      <c r="A5" s="5" t="inlineStr">
        <is>
          <t>Basis of record</t>
        </is>
      </c>
      <c r="B5" s="4" t="inlineStr">
        <is>
          <t>Canonical Financial Model v2.0 — keyed line-for-line to the executed WasteWerx Model 3 License Pro Forma (mutual NDA 2026-05-18).</t>
        </is>
      </c>
    </row>
    <row r="6">
      <c r="A6" s="5" t="inlineStr">
        <is>
          <t>Reading</t>
        </is>
      </c>
      <c r="B6" s="4" t="inlineStr">
        <is>
          <t>Every figure is a signed-document value or a formula over one. Economics shown as a reconciled range (signed Pro Forma vs operator-reality).</t>
        </is>
      </c>
    </row>
    <row r="7">
      <c r="A7" s="5" t="inlineStr">
        <is>
          <t>Status</t>
        </is>
      </c>
      <c r="B7" s="4" t="inlineStr">
        <is>
          <t>Diligence-grade working set. Open items are commercial (carbon black, RFS/§45Z, staffing reconciliation, offtake), not modeling.</t>
        </is>
      </c>
    </row>
    <row r="8">
      <c r="A8" s="5" t="inlineStr">
        <is>
          <t>Date</t>
        </is>
      </c>
      <c r="B8" s="4" t="inlineStr">
        <is>
          <t>2026-06-05</t>
        </is>
      </c>
    </row>
    <row r="9">
      <c r="A9" s="3" t="inlineStr"/>
      <c r="B9" s="4" t="inlineStr"/>
    </row>
    <row r="10">
      <c r="A10" s="6" t="inlineStr">
        <is>
          <t>SECURITIES NOTICE</t>
        </is>
      </c>
      <c r="B10" s="7" t="inlineStr">
        <is>
          <t>This workbook is for confidential discussion with accredited investors only. It is NOT an offer to sell or a solicitation to buy securities. Any offering, if made, will be made only through definitive documents reviewed by securities counsel. Contains forward-looking projections that are not guarantees. PublicLogic LLC is the governance/documentation partner — NOT a placement agent, broker-dealer, or adviser; its fee is fixed and non-contingent.</t>
        </is>
      </c>
    </row>
    <row r="11">
      <c r="A11" s="6" t="inlineStr">
        <is>
          <t>HANDLING</t>
        </is>
      </c>
      <c r="B11" s="7" t="inlineStr">
        <is>
          <t>Private &amp; Confidential. Keep separate from EGLE/public grant materials. Do not publish proprietary WasteWerx process detail.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52" customWidth="1" min="4" max="4"/>
  </cols>
  <sheetData>
    <row r="1">
      <c r="A1" s="1" t="inlineStr">
        <is>
          <t>Assumptions — signed-document values (Canonical v2.0)</t>
        </is>
      </c>
    </row>
    <row r="2">
      <c r="A2" s="8" t="inlineStr">
        <is>
          <t>Yellow = editable. Revenue &amp; Pro Forma opex are executed-Pro-Forma values; stress levers are the diligence swings.</t>
        </is>
      </c>
    </row>
    <row r="4">
      <c r="A4" s="9" t="inlineStr">
        <is>
          <t>Key</t>
        </is>
      </c>
      <c r="B4" s="9" t="inlineStr">
        <is>
          <t>Item</t>
        </is>
      </c>
      <c r="C4" s="9" t="inlineStr">
        <is>
          <t>Value</t>
        </is>
      </c>
      <c r="D4" s="9" t="inlineStr">
        <is>
          <t>Source</t>
        </is>
      </c>
    </row>
    <row r="5">
      <c r="A5" s="10" t="inlineStr">
        <is>
          <t>rd_sales</t>
        </is>
      </c>
      <c r="B5" t="inlineStr">
        <is>
          <t>RD fuel sales (2,399,040 gal x $2.00)</t>
        </is>
      </c>
      <c r="C5" s="11" t="n">
        <v>4798080</v>
      </c>
      <c r="D5" s="12" t="inlineStr">
        <is>
          <t>Canonical Revenue</t>
        </is>
      </c>
    </row>
    <row r="6">
      <c r="A6" s="10" t="inlineStr">
        <is>
          <t>saf_sales</t>
        </is>
      </c>
      <c r="B6" t="inlineStr">
        <is>
          <t>SAF fuel sales (2,301,120 gal x $4.50)</t>
        </is>
      </c>
      <c r="C6" s="11" t="n">
        <v>10355040</v>
      </c>
      <c r="D6" s="12" t="inlineStr">
        <is>
          <t>Canonical Revenue</t>
        </is>
      </c>
    </row>
    <row r="7">
      <c r="A7" s="10" t="inlineStr">
        <is>
          <t>d4_rin</t>
        </is>
      </c>
      <c r="B7" t="inlineStr">
        <is>
          <t>D4 RIN — RD</t>
        </is>
      </c>
      <c r="C7" s="11" t="n">
        <v>4798080</v>
      </c>
      <c r="D7" s="12" t="inlineStr">
        <is>
          <t>Canonical Revenue — contingent (RFS)</t>
        </is>
      </c>
    </row>
    <row r="8">
      <c r="A8" s="10" t="inlineStr">
        <is>
          <t>d7_rin</t>
        </is>
      </c>
      <c r="B8" t="inlineStr">
        <is>
          <t>D7 RIN — SAF</t>
        </is>
      </c>
      <c r="C8" s="11" t="n">
        <v>9204480</v>
      </c>
      <c r="D8" s="12" t="inlineStr">
        <is>
          <t>Canonical Revenue — contingent (RFS)</t>
        </is>
      </c>
    </row>
    <row r="9">
      <c r="A9" s="10" t="inlineStr">
        <is>
          <t>z45_rd</t>
        </is>
      </c>
      <c r="B9" t="inlineStr">
        <is>
          <t>Section 45Z — RD</t>
        </is>
      </c>
      <c r="C9" s="11" t="n">
        <v>2399040</v>
      </c>
      <c r="D9" s="12" t="inlineStr">
        <is>
          <t>Canonical Revenue — contingent</t>
        </is>
      </c>
    </row>
    <row r="10">
      <c r="A10" s="10" t="inlineStr">
        <is>
          <t>z45_saf</t>
        </is>
      </c>
      <c r="B10" t="inlineStr">
        <is>
          <t>Section 45Z — SAF</t>
        </is>
      </c>
      <c r="C10" s="11" t="n">
        <v>4026960</v>
      </c>
      <c r="D10" s="12" t="inlineStr">
        <is>
          <t>Canonical Revenue — contingent</t>
        </is>
      </c>
    </row>
    <row r="11">
      <c r="A11" s="10" t="inlineStr">
        <is>
          <t>cb</t>
        </is>
      </c>
      <c r="B11" t="inlineStr">
        <is>
          <t>Carbon black</t>
        </is>
      </c>
      <c r="C11" s="13" t="n">
        <v>0</v>
      </c>
      <c r="D11" s="12" t="inlineStr">
        <is>
          <t>$0 in executed Pro Forma (upside; deck implied ~$10.125M, uncontracted)</t>
        </is>
      </c>
    </row>
    <row r="12">
      <c r="A12" s="10" t="inlineStr">
        <is>
          <t>ww_fees</t>
        </is>
      </c>
      <c r="B12" t="inlineStr">
        <is>
          <t>WasteWerx fees (monitoring $420k + royalty $2,820,096)</t>
        </is>
      </c>
      <c r="C12" s="11" t="n">
        <v>3240096</v>
      </c>
      <c r="D12" s="12" t="inlineStr">
        <is>
          <t>Canonical P&amp;L</t>
        </is>
      </c>
    </row>
    <row r="13">
      <c r="A13" s="10" t="inlineStr">
        <is>
          <t>feedstock_pf</t>
        </is>
      </c>
      <c r="B13" t="inlineStr">
        <is>
          <t>Feedstock — Pro Forma ($0.20/gal)</t>
        </is>
      </c>
      <c r="C13" s="11" t="n">
        <v>940032</v>
      </c>
      <c r="D13" s="12" t="inlineStr">
        <is>
          <t>Canonical P&amp;L</t>
        </is>
      </c>
    </row>
    <row r="14">
      <c r="A14" s="10" t="inlineStr">
        <is>
          <t>utilities</t>
        </is>
      </c>
      <c r="B14" t="inlineStr">
        <is>
          <t>Utilities ($0.05/gal)</t>
        </is>
      </c>
      <c r="C14" s="11" t="n">
        <v>235008</v>
      </c>
      <c r="D14" s="12" t="inlineStr">
        <is>
          <t>Canonical P&amp;L</t>
        </is>
      </c>
    </row>
    <row r="15">
      <c r="A15" s="10" t="inlineStr">
        <is>
          <t>distribution</t>
        </is>
      </c>
      <c r="B15" t="inlineStr">
        <is>
          <t>Fuel distribution &amp; shipping ($0.08/gal)</t>
        </is>
      </c>
      <c r="C15" s="11" t="n">
        <v>376013</v>
      </c>
      <c r="D15" s="12" t="inlineStr">
        <is>
          <t>Canonical P&amp;L</t>
        </is>
      </c>
    </row>
    <row r="16">
      <c r="A16" s="10" t="inlineStr">
        <is>
          <t>labor_pf</t>
        </is>
      </c>
      <c r="B16" t="inlineStr">
        <is>
          <t>Operating labor — Pro Forma (4 FTE + manager)</t>
        </is>
      </c>
      <c r="C16" s="11" t="n">
        <v>425000</v>
      </c>
      <c r="D16" s="12" t="inlineStr">
        <is>
          <t>Canonical P&amp;L</t>
        </is>
      </c>
    </row>
    <row r="17">
      <c r="A17" s="10" t="inlineStr">
        <is>
          <t>insurance</t>
        </is>
      </c>
      <c r="B17" t="inlineStr">
        <is>
          <t>Insurance</t>
        </is>
      </c>
      <c r="C17" s="11" t="n">
        <v>65000</v>
      </c>
      <c r="D17" s="12" t="inlineStr">
        <is>
          <t>Canonical P&amp;L</t>
        </is>
      </c>
    </row>
    <row r="18">
      <c r="A18" s="10" t="inlineStr">
        <is>
          <t>permits</t>
        </is>
      </c>
      <c r="B18" t="inlineStr">
        <is>
          <t>Permit renewals &amp; compliance</t>
        </is>
      </c>
      <c r="C18" s="11" t="n">
        <v>25000</v>
      </c>
      <c r="D18" s="12" t="inlineStr">
        <is>
          <t>Canonical P&amp;L</t>
        </is>
      </c>
    </row>
    <row r="19">
      <c r="A19" s="10" t="inlineStr">
        <is>
          <t>ga</t>
        </is>
      </c>
      <c r="B19" t="inlineStr">
        <is>
          <t>G&amp;A overhead</t>
        </is>
      </c>
      <c r="C19" s="11" t="n">
        <v>75000</v>
      </c>
      <c r="D19" s="12" t="inlineStr">
        <is>
          <t>Canonical P&amp;L</t>
        </is>
      </c>
    </row>
    <row r="20">
      <c r="A20" s="10" t="inlineStr">
        <is>
          <t>labor_real</t>
        </is>
      </c>
      <c r="B20" t="inlineStr">
        <is>
          <t>Operating labor — STAFFING pro forma (62 FTE)</t>
        </is>
      </c>
      <c r="C20" s="11" t="n">
        <v>5522400</v>
      </c>
      <c r="D20" s="12" t="inlineStr">
        <is>
          <t>WasteWerx Staffing Pro Forma</t>
        </is>
      </c>
    </row>
    <row r="21">
      <c r="A21" s="10" t="inlineStr">
        <is>
          <t>mi_adj</t>
        </is>
      </c>
      <c r="B21" t="inlineStr">
        <is>
          <t>Michigan labor adjustment</t>
        </is>
      </c>
      <c r="C21" s="14" t="n">
        <v>1.05</v>
      </c>
      <c r="D21" s="12" t="inlineStr">
        <is>
          <t>FL-&gt;MI [CONFIRM]</t>
        </is>
      </c>
    </row>
    <row r="22">
      <c r="A22" s="10" t="inlineStr">
        <is>
          <t>xtrain</t>
        </is>
      </c>
      <c r="B22" t="inlineStr">
        <is>
          <t>Cross-training factor (&lt;1.0 reduces)</t>
        </is>
      </c>
      <c r="C22" s="14" t="n">
        <v>1</v>
      </c>
      <c r="D22" s="12" t="inlineStr">
        <is>
          <t>Vincent Tizio: staffing is worst-case</t>
        </is>
      </c>
    </row>
    <row r="23">
      <c r="A23" s="10" t="inlineStr">
        <is>
          <t>feedstock_real</t>
        </is>
      </c>
      <c r="B23" t="inlineStr">
        <is>
          <t>Feedstock — operator reality</t>
        </is>
      </c>
      <c r="C23" s="11" t="n">
        <v>3720000</v>
      </c>
      <c r="D23" s="12" t="inlineStr">
        <is>
          <t>deck $200/ton; ERR $25/ton tipping = ~$1M [CONFIRM]</t>
        </is>
      </c>
    </row>
    <row r="24">
      <c r="A24" s="10" t="inlineStr">
        <is>
          <t>y1_cashout</t>
        </is>
      </c>
      <c r="B24" t="inlineStr">
        <is>
          <t>Year 1 cash out</t>
        </is>
      </c>
      <c r="C24" s="11" t="n">
        <v>7622828</v>
      </c>
      <c r="D24" s="12" t="inlineStr">
        <is>
          <t>Canonical — CONFIRMED</t>
        </is>
      </c>
    </row>
    <row r="25">
      <c r="A25" s="10" t="inlineStr">
        <is>
          <t>raise_site</t>
        </is>
      </c>
      <c r="B25" t="inlineStr">
        <is>
          <t>Project raise per site</t>
        </is>
      </c>
      <c r="C25" s="11" t="n">
        <v>15000000</v>
      </c>
      <c r="D25" s="12" t="inlineStr">
        <is>
          <t>sponsor</t>
        </is>
      </c>
    </row>
    <row r="26">
      <c r="A26" s="10" t="inlineStr">
        <is>
          <t>company_raise</t>
        </is>
      </c>
      <c r="B26" t="inlineStr">
        <is>
          <t>Company-level raise (separate)</t>
        </is>
      </c>
      <c r="C26" s="11" t="n">
        <v>2500000</v>
      </c>
      <c r="D26" s="12" t="inlineStr">
        <is>
          <t>sponsor</t>
        </is>
      </c>
    </row>
    <row r="27">
      <c r="A27" s="10" t="inlineStr">
        <is>
          <t>comm</t>
        </is>
      </c>
      <c r="B27" t="inlineStr">
        <is>
          <t>Community profit share (of EBITDA)</t>
        </is>
      </c>
      <c r="C27" s="14" t="n">
        <v>0.1</v>
      </c>
      <c r="D27" s="12" t="inlineStr">
        <is>
          <t>Canonical — contractual</t>
        </is>
      </c>
    </row>
    <row r="28">
      <c r="A28" s="10" t="inlineStr">
        <is>
          <t>sites</t>
        </is>
      </c>
      <c r="B28" t="inlineStr">
        <is>
          <t>Sites in corridor</t>
        </is>
      </c>
      <c r="C28" s="13" t="n">
        <v>3</v>
      </c>
      <c r="D28" s="12" t="inlineStr">
        <is>
          <t>Lincoln/Flint/Coleman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1" t="inlineStr">
        <is>
          <t>Per-site economics — reconciled range</t>
        </is>
      </c>
    </row>
    <row r="2">
      <c r="A2" s="8" t="inlineStr">
        <is>
          <t>Keyed to Canonical v2.0. 'As signed' = Pro Forma (5-FTE). 'Operator-reality' = 62-FTE staffing + real feedstock.</t>
        </is>
      </c>
    </row>
    <row r="4">
      <c r="A4" s="15" t="inlineStr">
        <is>
          <t>REVENUE (steady state)</t>
        </is>
      </c>
    </row>
    <row r="5">
      <c r="A5" s="9" t="inlineStr">
        <is>
          <t>Stream</t>
        </is>
      </c>
      <c r="B5" s="9" t="inlineStr">
        <is>
          <t>$/yr</t>
        </is>
      </c>
      <c r="C5" s="9" t="inlineStr">
        <is>
          <t>Category</t>
        </is>
      </c>
    </row>
    <row r="6">
      <c r="A6" s="16" t="inlineStr">
        <is>
          <t>Renewable diesel sales</t>
        </is>
      </c>
      <c r="B6" s="17">
        <f>Assumptions!$C$5</f>
        <v/>
      </c>
      <c r="C6" s="16" t="inlineStr">
        <is>
          <t>Base fuel</t>
        </is>
      </c>
    </row>
    <row r="7">
      <c r="A7" s="16" t="inlineStr">
        <is>
          <t>SAF / kerosene sales</t>
        </is>
      </c>
      <c r="B7" s="17">
        <f>Assumptions!$C$6</f>
        <v/>
      </c>
      <c r="C7" s="16" t="inlineStr">
        <is>
          <t>Base fuel</t>
        </is>
      </c>
    </row>
    <row r="8">
      <c r="A8" s="16" t="inlineStr">
        <is>
          <t>D4 RIN</t>
        </is>
      </c>
      <c r="B8" s="18">
        <f>Assumptions!$C$7</f>
        <v/>
      </c>
      <c r="C8" s="16" t="inlineStr">
        <is>
          <t>Contingent (RFS)</t>
        </is>
      </c>
    </row>
    <row r="9">
      <c r="A9" s="16" t="inlineStr">
        <is>
          <t>D7 RIN</t>
        </is>
      </c>
      <c r="B9" s="18">
        <f>Assumptions!$C$8</f>
        <v/>
      </c>
      <c r="C9" s="16" t="inlineStr">
        <is>
          <t>Contingent (RFS)</t>
        </is>
      </c>
    </row>
    <row r="10">
      <c r="A10" s="16" t="inlineStr">
        <is>
          <t>§45Z — RD</t>
        </is>
      </c>
      <c r="B10" s="18">
        <f>Assumptions!$C$9</f>
        <v/>
      </c>
      <c r="C10" s="16" t="inlineStr">
        <is>
          <t>Contingent</t>
        </is>
      </c>
    </row>
    <row r="11">
      <c r="A11" s="16" t="inlineStr">
        <is>
          <t>§45Z — SAF</t>
        </is>
      </c>
      <c r="B11" s="18">
        <f>Assumptions!$C$10</f>
        <v/>
      </c>
      <c r="C11" s="16" t="inlineStr">
        <is>
          <t>Contingent</t>
        </is>
      </c>
    </row>
    <row r="12">
      <c r="A12" s="16" t="inlineStr">
        <is>
          <t>Carbon black</t>
        </is>
      </c>
      <c r="B12" s="11">
        <f>Assumptions!$C$11</f>
        <v/>
      </c>
      <c r="C12" s="16" t="inlineStr">
        <is>
          <t>Upside (excluded)</t>
        </is>
      </c>
    </row>
    <row r="13">
      <c r="A13" s="5" t="inlineStr">
        <is>
          <t>Base fuel (RD+SAF)</t>
        </is>
      </c>
      <c r="B13" s="19">
        <f>B6+B7</f>
        <v/>
      </c>
    </row>
    <row r="14">
      <c r="A14" s="5" t="inlineStr">
        <is>
          <t>Contingent credits (RIN+45Z)</t>
        </is>
      </c>
      <c r="B14" s="20">
        <f>B8+B9+B10+B11</f>
        <v/>
      </c>
    </row>
    <row r="15">
      <c r="A15" s="5" t="inlineStr">
        <is>
          <t>TOTAL REVENUE</t>
        </is>
      </c>
      <c r="B15" s="21">
        <f>B13+B14+B12</f>
        <v/>
      </c>
    </row>
    <row r="17">
      <c r="A17" s="15" t="inlineStr">
        <is>
          <t>OPERATING COST &amp; EBITDA</t>
        </is>
      </c>
    </row>
    <row r="18">
      <c r="A18" s="9" t="inlineStr"/>
      <c r="B18" s="9" t="inlineStr">
        <is>
          <t>As signed (Pro Forma, 5 FTE)</t>
        </is>
      </c>
      <c r="C18" s="9" t="inlineStr">
        <is>
          <t>Operator-reality (62 FTE)</t>
        </is>
      </c>
    </row>
    <row r="19">
      <c r="A19" s="16" t="inlineStr">
        <is>
          <t>Total operating cost</t>
        </is>
      </c>
      <c r="B19" s="22">
        <f>Assumptions!$C$12+Assumptions!$C$13+Assumptions!$C$14+Assumptions!$C$15+Assumptions!$C$16+Assumptions!$C$17+Assumptions!$C$18+Assumptions!$C$19</f>
        <v/>
      </c>
      <c r="C19" s="22">
        <f>Assumptions!$C$12+Assumptions!$C$23+Assumptions!$C$14+Assumptions!$C$15+Assumptions!$C$20*Assumptions!$C$21*Assumptions!$C$22+Assumptions!$C$17+Assumptions!$C$18+Assumptions!$C$19</f>
        <v/>
      </c>
    </row>
    <row r="20">
      <c r="A20" s="23" t="inlineStr">
        <is>
          <t>EBITDA — fuel + credits</t>
        </is>
      </c>
      <c r="B20" s="24">
        <f>B15-B19</f>
        <v/>
      </c>
      <c r="C20" s="25">
        <f>B15-C19</f>
        <v/>
      </c>
    </row>
    <row r="21">
      <c r="A21" s="23" t="inlineStr">
        <is>
          <t>EBITDA — base fuel only (no credits)</t>
        </is>
      </c>
      <c r="B21" s="17">
        <f>B13-B19</f>
        <v/>
      </c>
      <c r="C21" s="18">
        <f>B13-C19</f>
        <v/>
      </c>
    </row>
    <row r="22">
      <c r="A22" s="16" t="inlineStr">
        <is>
          <t>Year 1 cash out</t>
        </is>
      </c>
      <c r="B22" s="22">
        <f>Assumptions!$C$24</f>
        <v/>
      </c>
      <c r="C22" s="22">
        <f>Assumptions!$C$24</f>
        <v/>
      </c>
    </row>
    <row r="23">
      <c r="A23" s="16" t="inlineStr">
        <is>
          <t>Community share (10% of EBITDA)</t>
        </is>
      </c>
      <c r="B23" s="22">
        <f>B20*Assumptions!$C$27</f>
        <v/>
      </c>
      <c r="C23" s="22">
        <f>C20*Assumptions!$C$27</f>
        <v/>
      </c>
    </row>
    <row r="25">
      <c r="A25" s="15" t="inlineStr">
        <is>
          <t>THREE-SITE CORRIDOR (x sites)</t>
        </is>
      </c>
    </row>
    <row r="26">
      <c r="A26" s="9" t="inlineStr">
        <is>
          <t>Metric</t>
        </is>
      </c>
      <c r="B26" s="9" t="inlineStr">
        <is>
          <t>As signed</t>
        </is>
      </c>
      <c r="C26" s="9" t="inlineStr">
        <is>
          <t>Operator-reality</t>
        </is>
      </c>
    </row>
    <row r="27">
      <c r="A27" s="16" t="inlineStr">
        <is>
          <t>Total revenue</t>
        </is>
      </c>
      <c r="B27" s="22">
        <f>(B15)*Assumptions!$C$28</f>
        <v/>
      </c>
      <c r="C27" s="22">
        <f>(B15)*Assumptions!$C$28</f>
        <v/>
      </c>
    </row>
    <row r="28">
      <c r="A28" s="16" t="inlineStr">
        <is>
          <t>EBITDA (fuel+credits)</t>
        </is>
      </c>
      <c r="B28" s="22">
        <f>(B20)*Assumptions!$C$28</f>
        <v/>
      </c>
      <c r="C28" s="22">
        <f>(C20)*Assumptions!$C$28</f>
        <v/>
      </c>
    </row>
    <row r="29">
      <c r="A29" s="16" t="inlineStr">
        <is>
          <t>Year 1 cash out</t>
        </is>
      </c>
      <c r="B29" s="22">
        <f>(B22)*Assumptions!$C$28</f>
        <v/>
      </c>
      <c r="C29" s="22">
        <f>(B22)*Assumptions!$C$28</f>
        <v/>
      </c>
    </row>
    <row r="31">
      <c r="A31" s="26" t="inlineStr">
        <is>
          <t>Note: $20.4M of the $35.58M revenue is RIN/§45Z, contingent on EPA RFS registration. Carbon black is $0 in the base. The $30.2M EBITDA assumes Pro Forma 5-FTE staffing; operator-reality integrates the 62-FTE pro forma.</t>
        </is>
      </c>
    </row>
    <row r="32"/>
  </sheetData>
  <mergeCells count="1">
    <mergeCell ref="A31:C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2" customWidth="1" min="3" max="3"/>
  </cols>
  <sheetData>
    <row r="1">
      <c r="A1" s="1" t="inlineStr">
        <is>
          <t>Capital &amp; the two raises</t>
        </is>
      </c>
    </row>
    <row r="2">
      <c r="A2" s="8" t="inlineStr">
        <is>
          <t>Site capital and company capital are distinct asks — never blended.</t>
        </is>
      </c>
    </row>
    <row r="4">
      <c r="A4" s="9" t="inlineStr">
        <is>
          <t>Item</t>
        </is>
      </c>
      <c r="B4" s="9" t="inlineStr">
        <is>
          <t>Amount</t>
        </is>
      </c>
      <c r="C4" s="9" t="inlineStr">
        <is>
          <t>Note</t>
        </is>
      </c>
    </row>
    <row r="5">
      <c r="A5" s="16" t="inlineStr">
        <is>
          <t>Project raise per site</t>
        </is>
      </c>
      <c r="B5" s="27">
        <f>Assumptions!$C$25</f>
        <v/>
      </c>
      <c r="C5" s="28" t="inlineStr">
        <is>
          <t>sponsor headline</t>
        </is>
      </c>
    </row>
    <row r="6">
      <c r="A6" s="16" t="inlineStr">
        <is>
          <t>Project raises — 3 sites</t>
        </is>
      </c>
      <c r="B6" s="27">
        <f>Assumptions!$C$25*Assumptions!$C$28</f>
        <v/>
      </c>
      <c r="C6" s="28" t="inlineStr">
        <is>
          <t>excludes company raise</t>
        </is>
      </c>
    </row>
    <row r="7">
      <c r="A7" s="16" t="inlineStr">
        <is>
          <t>Company-level raise (separate)</t>
        </is>
      </c>
      <c r="B7" s="27">
        <f>Assumptions!$C$26</f>
        <v/>
      </c>
      <c r="C7" s="28" t="inlineStr">
        <is>
          <t>working capital, payroll, governance, team [CONFIRM split]</t>
        </is>
      </c>
    </row>
    <row r="8">
      <c r="A8" s="16" t="inlineStr">
        <is>
          <t>Combined discussion total</t>
        </is>
      </c>
      <c r="B8" s="27">
        <f>Assumptions!$C$25*Assumptions!$C$28+Assumptions!$C$26</f>
        <v/>
      </c>
      <c r="C8" s="28" t="inlineStr">
        <is>
          <t>present separately</t>
        </is>
      </c>
    </row>
    <row r="9">
      <c r="A9" s="16" t="inlineStr">
        <is>
          <t>Year 1 cash out per site</t>
        </is>
      </c>
      <c r="B9" s="27">
        <f>Assumptions!$C$24</f>
        <v/>
      </c>
      <c r="C9" s="28" t="inlineStr">
        <is>
          <t>CONFIRMED (WasteWerx $6,670,328 + capex $952,500)</t>
        </is>
      </c>
    </row>
    <row r="11">
      <c r="A11" s="15" t="inlineStr">
        <is>
          <t>ROUGH PER-SITE USE OF FUNDS (sponsor)</t>
        </is>
      </c>
    </row>
    <row r="12">
      <c r="A12" s="16" t="inlineStr">
        <is>
          <t>Build / core plant</t>
        </is>
      </c>
      <c r="B12" s="22" t="n">
        <v>8000000</v>
      </c>
    </row>
    <row r="13">
      <c r="A13" s="16" t="inlineStr">
        <is>
          <t>Added construction</t>
        </is>
      </c>
      <c r="B13" s="22" t="n">
        <v>1000000</v>
      </c>
    </row>
    <row r="14">
      <c r="A14" s="16" t="inlineStr">
        <is>
          <t>Pre-processing equipment</t>
        </is>
      </c>
      <c r="B14" s="22" t="n">
        <v>2000000</v>
      </c>
    </row>
    <row r="15">
      <c r="A15" s="16" t="inlineStr">
        <is>
          <t>Contingency / fees / payroll / training</t>
        </is>
      </c>
      <c r="B15" s="22" t="n">
        <v>5000000</v>
      </c>
    </row>
    <row r="16">
      <c r="A16" s="5" t="inlineStr">
        <is>
          <t>Rough subtotal</t>
        </is>
      </c>
      <c r="B16" s="29">
        <f>SUM(B12:B15)</f>
        <v/>
      </c>
    </row>
    <row r="17">
      <c r="A17" s="5" t="inlineStr">
        <is>
          <t>Gap vs $15M raise [CONFIRM]</t>
        </is>
      </c>
      <c r="B17" s="30">
        <f>Assumptions!$C$25-B16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46" customWidth="1" min="4" max="4"/>
    <col width="18" customWidth="1" min="5" max="5"/>
  </cols>
  <sheetData>
    <row r="1">
      <c r="A1" s="1" t="inlineStr">
        <is>
          <t>Grant stack — non-dilutive fuel around the private raise</t>
        </is>
      </c>
    </row>
    <row r="2">
      <c r="A2" s="8" t="inlineStr">
        <is>
          <t>Grants are readiness/de-risking lanes, kept DISTINCT from the securities offering. They do not replace the core raise.</t>
        </is>
      </c>
    </row>
    <row r="4">
      <c r="A4" s="9" t="inlineStr">
        <is>
          <t>Lane</t>
        </is>
      </c>
      <c r="B4" s="9" t="inlineStr">
        <is>
          <t>Agency</t>
        </is>
      </c>
      <c r="C4" s="9" t="inlineStr">
        <is>
          <t>Best fit</t>
        </is>
      </c>
      <c r="D4" s="9" t="inlineStr">
        <is>
          <t>Current posture / status</t>
        </is>
      </c>
      <c r="E4" s="9" t="inlineStr">
        <is>
          <t>PublicLogic role</t>
        </is>
      </c>
    </row>
    <row r="5">
      <c r="A5" s="28" t="inlineStr">
        <is>
          <t>MI Healthy Climate Challenge #4 — Go Big, Go Clean</t>
        </is>
      </c>
      <c r="B5" s="28" t="inlineStr">
        <is>
          <t>EGLE</t>
        </is>
      </c>
      <c r="C5" s="28" t="inlineStr">
        <is>
          <t>Corridor (planning study)</t>
        </is>
      </c>
      <c r="D5" s="28" t="inlineStr">
        <is>
          <t>LOIs submitted 5/19; full app due 7/7; carbon-credit research ineligible; needs ≥50% facility-decarb framing; confirm program status</t>
        </is>
      </c>
      <c r="E5" s="28" t="inlineStr">
        <is>
          <t>Grant-stacking + application</t>
        </is>
      </c>
    </row>
    <row r="6">
      <c r="A6" s="28" t="inlineStr">
        <is>
          <t>NextCycle Michigan</t>
        </is>
      </c>
      <c r="B6" s="28" t="inlineStr">
        <is>
          <t>EGLE/MI</t>
        </is>
      </c>
      <c r="C6" s="28" t="inlineStr">
        <is>
          <t>All sites</t>
        </is>
      </c>
      <c r="D6" s="28" t="inlineStr">
        <is>
          <t>Active support ecosystem; award status [CONFIRM]</t>
        </is>
      </c>
      <c r="E6" s="28" t="inlineStr">
        <is>
          <t>Coordination</t>
        </is>
      </c>
    </row>
    <row r="7">
      <c r="A7" s="28" t="inlineStr">
        <is>
          <t>EGLE Scrap Tire Market Development</t>
        </is>
      </c>
      <c r="B7" s="28" t="inlineStr">
        <is>
          <t>EGLE</t>
        </is>
      </c>
      <c r="C7" s="28" t="inlineStr">
        <is>
          <t>Equipment funding</t>
        </is>
      </c>
      <c r="D7" s="28" t="inlineStr">
        <is>
          <t>FY27 target; ~50% cost share — this lane CAN fund equipment</t>
        </is>
      </c>
      <c r="E7" s="28" t="inlineStr">
        <is>
          <t>Eligibility + application</t>
        </is>
      </c>
    </row>
    <row r="8">
      <c r="A8" s="28" t="inlineStr">
        <is>
          <t>EPA Brownfield Cleanup &amp; Assessment</t>
        </is>
      </c>
      <c r="B8" s="28" t="inlineStr">
        <is>
          <t>EPA</t>
        </is>
      </c>
      <c r="C8" s="28" t="inlineStr">
        <is>
          <t>Flint/Dort; Coldwater</t>
        </is>
      </c>
      <c r="D8" s="28" t="inlineStr">
        <is>
          <t>$500K–$2M; environmental-readiness / diligence support</t>
        </is>
      </c>
      <c r="E8" s="28" t="inlineStr">
        <is>
          <t>Readiness</t>
        </is>
      </c>
    </row>
    <row r="9">
      <c r="A9" s="28" t="inlineStr">
        <is>
          <t>USDA REAP / B&amp;I Guaranteed Loans</t>
        </is>
      </c>
      <c r="B9" s="28" t="inlineStr">
        <is>
          <t>USDA</t>
        </is>
      </c>
      <c r="C9" s="28" t="inlineStr">
        <is>
          <t>Coleman / rural sites</t>
        </is>
      </c>
      <c r="D9" s="28" t="inlineStr">
        <is>
          <t>Up to $1M grant / $25M guarantee; site eligibility [CONFIRM]</t>
        </is>
      </c>
      <c r="E9" s="28" t="inlineStr">
        <is>
          <t>Stacking</t>
        </is>
      </c>
    </row>
    <row r="10">
      <c r="A10" s="28" t="inlineStr">
        <is>
          <t>NMTC / Opportunity Zone / EDA</t>
        </is>
      </c>
      <c r="B10" s="28" t="inlineStr">
        <is>
          <t>Treasury/EDA</t>
        </is>
      </c>
      <c r="C10" s="28" t="inlineStr">
        <is>
          <t>Flint / all sites</t>
        </is>
      </c>
      <c r="D10" s="28" t="inlineStr">
        <is>
          <t>Structuring + infrastructure lanes; tract/cycle checks remain</t>
        </is>
      </c>
      <c r="E10" s="28" t="inlineStr">
        <is>
          <t>Structuring</t>
        </is>
      </c>
    </row>
    <row r="11">
      <c r="A11" s="28" t="inlineStr">
        <is>
          <t>§45Z / RIN (clean-fuel credits)</t>
        </is>
      </c>
      <c r="B11" s="28" t="inlineStr">
        <is>
          <t>IRS/EPA</t>
        </is>
      </c>
      <c r="C11" s="28" t="inlineStr">
        <is>
          <t>Operating sites</t>
        </is>
      </c>
      <c r="D11" s="28" t="inlineStr">
        <is>
          <t>POST-qualification upside (~$20.4M/yr); RFS registration + §45Z eligibility required — NOT banked base case</t>
        </is>
      </c>
      <c r="E11" s="28" t="inlineStr">
        <is>
          <t>Compliance / MRV</t>
        </is>
      </c>
    </row>
    <row r="13">
      <c r="A13" s="26" t="inlineStr">
        <is>
          <t>Note: §45Z + RIN are the operating clean-fuel credits in the model. §45Q (carbon capture) is a different mechanism and is NOT banked here. Grant proceeds reduce net investor exposure; they are not part of the securities offering.</t>
        </is>
      </c>
    </row>
    <row r="14"/>
  </sheetData>
  <mergeCells count="1">
    <mergeCell ref="A13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2" customWidth="1" min="3" max="3"/>
    <col width="52" customWidth="1" min="4" max="4"/>
  </cols>
  <sheetData>
    <row r="1">
      <c r="A1" s="1" t="inlineStr">
        <is>
          <t>Open items — commercial, not modeling</t>
        </is>
      </c>
    </row>
    <row r="3">
      <c r="A3" s="9" t="inlineStr">
        <is>
          <t>#</t>
        </is>
      </c>
      <c r="B3" s="9" t="inlineStr">
        <is>
          <t>Item</t>
        </is>
      </c>
      <c r="C3" s="9" t="inlineStr">
        <is>
          <t>Severity</t>
        </is>
      </c>
      <c r="D3" s="9" t="inlineStr">
        <is>
          <t>Resolution / owner</t>
        </is>
      </c>
    </row>
    <row r="4">
      <c r="A4" s="28" t="inlineStr">
        <is>
          <t>1</t>
        </is>
      </c>
      <c r="B4" s="28" t="inlineStr">
        <is>
          <t>Staffing reconciliation: Pro Forma 5 FTE ($425k) vs WasteWerx staffing pro forma 62 FTE ($5.52M)</t>
        </is>
      </c>
      <c r="C4" s="31" t="inlineStr">
        <is>
          <t>CRITICAL</t>
        </is>
      </c>
      <c r="D4" s="28" t="inlineStr">
        <is>
          <t>Confirm actual headcount (cross-trained middle); integrate into site model — Robert/Vinny/Glen</t>
        </is>
      </c>
    </row>
    <row r="5">
      <c r="A5" s="28" t="inlineStr">
        <is>
          <t>2</t>
        </is>
      </c>
      <c r="B5" s="28" t="inlineStr">
        <is>
          <t>RFS / §45Z: $20,428,560 of revenue is registration-contingent</t>
        </is>
      </c>
      <c r="C5" s="31" t="inlineStr">
        <is>
          <t>CRITICAL</t>
        </is>
      </c>
      <c r="D5" s="28" t="inlineStr">
        <is>
          <t>EPA RFS pathway petition + §45Z qualification (Phase 1) — Glen/counsel</t>
        </is>
      </c>
    </row>
    <row r="6">
      <c r="A6" s="28" t="inlineStr">
        <is>
          <t>3</t>
        </is>
      </c>
      <c r="B6" s="28" t="inlineStr">
        <is>
          <t>Carbon black = $0 in executed Pro Forma</t>
        </is>
      </c>
      <c r="C6" s="32" t="inlineStr">
        <is>
          <t>HIGH</t>
        </is>
      </c>
      <c r="D6" s="28" t="inlineStr">
        <is>
          <t>Confirm grade + contracted price before representing — Glen/WasteWerx</t>
        </is>
      </c>
    </row>
    <row r="7">
      <c r="A7" s="28" t="inlineStr">
        <is>
          <t>4</t>
        </is>
      </c>
      <c r="B7" s="28" t="inlineStr">
        <is>
          <t>Feedstock swing: $940k (PF) vs $3.72M (deck) vs ~$1M (ERR $25/ton tipping)</t>
        </is>
      </c>
      <c r="C7" s="32" t="inlineStr">
        <is>
          <t>HIGH</t>
        </is>
      </c>
      <c r="D7" s="28" t="inlineStr">
        <is>
          <t>Resolve with ERR supply terms — Robert</t>
        </is>
      </c>
    </row>
    <row r="8">
      <c r="A8" s="28" t="inlineStr">
        <is>
          <t>5</t>
        </is>
      </c>
      <c r="B8" s="28" t="inlineStr">
        <is>
          <t>Securities: $47.5M solicitation; return structure unreconciled ($14M vs $40M)</t>
        </is>
      </c>
      <c r="C8" s="31" t="inlineStr">
        <is>
          <t>CRITICAL</t>
        </is>
      </c>
      <c r="D8" s="28" t="inlineStr">
        <is>
          <t>Securities counsel + Reg D/PPM before any send — counsel; PL not placement agent</t>
        </is>
      </c>
    </row>
    <row r="9">
      <c r="A9" s="28" t="inlineStr">
        <is>
          <t>6</t>
        </is>
      </c>
      <c r="B9" s="28" t="inlineStr">
        <is>
          <t>Site list: active set Lincoln/Flint/Coleman (LOIs); Coldwater = Phase 2</t>
        </is>
      </c>
      <c r="C9" s="32" t="inlineStr">
        <is>
          <t>HIGH</t>
        </is>
      </c>
      <c r="D9" s="28" t="inlineStr">
        <is>
          <t>Align deck/workbook to submitted record — team</t>
        </is>
      </c>
    </row>
    <row r="10">
      <c r="A10" s="28" t="inlineStr">
        <is>
          <t>7</t>
        </is>
      </c>
      <c r="B10" s="28" t="inlineStr">
        <is>
          <t>Community benefit %: 10% of EBITDA vs 10% of equity (differ by ~10x)</t>
        </is>
      </c>
      <c r="C10" s="33" t="inlineStr">
        <is>
          <t>MEDIUM</t>
        </is>
      </c>
      <c r="D10" s="28" t="inlineStr">
        <is>
          <t>Reconcile + encode in operating agreements — Robert/counsel</t>
        </is>
      </c>
    </row>
    <row r="11">
      <c r="A11" s="28" t="inlineStr">
        <is>
          <t>8</t>
        </is>
      </c>
      <c r="B11" s="28" t="inlineStr">
        <is>
          <t>License not depreciable (title stays with WasteWerx); MAR Yr1 70%/Yr2+ 80%</t>
        </is>
      </c>
      <c r="C11" s="33" t="inlineStr">
        <is>
          <t>MEDIUM</t>
        </is>
      </c>
      <c r="D11" s="28" t="inlineStr">
        <is>
          <t>Brief Walton on tax treatment; SPV transfer terms — counsel</t>
        </is>
      </c>
    </row>
    <row r="12">
      <c r="A12" s="28" t="inlineStr">
        <is>
          <t>9</t>
        </is>
      </c>
      <c r="B12" s="28" t="inlineStr">
        <is>
          <t>Use-of-funds ~$16M vs $15M raise</t>
        </is>
      </c>
      <c r="C12" s="33" t="inlineStr">
        <is>
          <t>LOW</t>
        </is>
      </c>
      <c r="D12" s="28" t="inlineStr">
        <is>
          <t>Reconcile which line absorbs ~$1M — Robert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2" customWidth="1" min="3" max="3"/>
    <col width="44" customWidth="1" min="4" max="4"/>
  </cols>
  <sheetData>
    <row r="1">
      <c r="A1" s="1" t="inlineStr">
        <is>
          <t>Documents &amp; support on file</t>
        </is>
      </c>
    </row>
    <row r="2">
      <c r="A2" s="8" t="inlineStr">
        <is>
          <t>Source-backed. Draft letters marked DRAFT; do not represent draft support as commitment.</t>
        </is>
      </c>
    </row>
    <row r="4">
      <c r="A4" s="9" t="inlineStr">
        <is>
          <t>Document</t>
        </is>
      </c>
      <c r="B4" s="9" t="inlineStr">
        <is>
          <t>Party</t>
        </is>
      </c>
      <c r="C4" s="9" t="inlineStr">
        <is>
          <t>Date</t>
        </is>
      </c>
      <c r="D4" s="9" t="inlineStr">
        <is>
          <t>Status</t>
        </is>
      </c>
    </row>
    <row r="5">
      <c r="A5" s="28" t="inlineStr">
        <is>
          <t>Executed WasteWerx License Pro Forma (Model 3)</t>
        </is>
      </c>
      <c r="B5" s="28" t="inlineStr">
        <is>
          <t>WasteWerx</t>
        </is>
      </c>
      <c r="C5" s="28" t="inlineStr">
        <is>
          <t>2026-05</t>
        </is>
      </c>
      <c r="D5" s="28" t="inlineStr">
        <is>
          <t>CONFIRMED (basis of model)</t>
        </is>
      </c>
    </row>
    <row r="6">
      <c r="A6" s="28" t="inlineStr">
        <is>
          <t>WasteWerx Mutual NDA</t>
        </is>
      </c>
      <c r="B6" s="28" t="inlineStr">
        <is>
          <t>WasteWerx / PublicLogic</t>
        </is>
      </c>
      <c r="C6" s="28" t="inlineStr">
        <is>
          <t>2026-05-18</t>
        </is>
      </c>
      <c r="D6" s="28" t="inlineStr">
        <is>
          <t>EXECUTED</t>
        </is>
      </c>
    </row>
    <row r="7">
      <c r="A7" s="28" t="inlineStr">
        <is>
          <t>WasteWerx Brochure (IP-Protected)</t>
        </is>
      </c>
      <c r="B7" s="28" t="inlineStr">
        <is>
          <t>WasteWerx</t>
        </is>
      </c>
      <c r="C7" s="28" t="inlineStr">
        <is>
          <t>2026</t>
        </is>
      </c>
      <c r="D7" s="28" t="inlineStr">
        <is>
          <t>ON FILE — CONFIDENTIAL (SRC-019)</t>
        </is>
      </c>
    </row>
    <row r="8">
      <c r="A8" s="28" t="inlineStr">
        <is>
          <t>Letter of Support</t>
        </is>
      </c>
      <c r="B8" s="28" t="inlineStr">
        <is>
          <t>Geocycle (Paolo Carollo)</t>
        </is>
      </c>
      <c r="C8" s="28" t="inlineStr">
        <is>
          <t>2026-01-26</t>
        </is>
      </c>
      <c r="D8" s="28" t="inlineStr">
        <is>
          <t>ON FILE</t>
        </is>
      </c>
    </row>
    <row r="9">
      <c r="A9" s="28" t="inlineStr">
        <is>
          <t>Letter of Support</t>
        </is>
      </c>
      <c r="B9" s="28" t="inlineStr">
        <is>
          <t>University of Arizona (Dr. Joel Cuello)</t>
        </is>
      </c>
      <c r="C9" s="28" t="inlineStr">
        <is>
          <t>2026-02-10</t>
        </is>
      </c>
      <c r="D9" s="28" t="inlineStr">
        <is>
          <t>ON FILE</t>
        </is>
      </c>
    </row>
    <row r="10">
      <c r="A10" s="28" t="inlineStr">
        <is>
          <t>Advisory validation</t>
        </is>
      </c>
      <c r="B10" s="28" t="inlineStr">
        <is>
          <t>Acadia Capital (Brien Walton)</t>
        </is>
      </c>
      <c r="C10" s="28" t="inlineStr">
        <is>
          <t>2026-05-08</t>
        </is>
      </c>
      <c r="D10" s="28" t="inlineStr">
        <is>
          <t>ON FILE (validation, not committed financing)</t>
        </is>
      </c>
    </row>
    <row r="11">
      <c r="A11" s="28" t="inlineStr">
        <is>
          <t>Feedstock supply (Dort Hwy)</t>
        </is>
      </c>
      <c r="B11" s="28" t="inlineStr">
        <is>
          <t>ERR Inc.</t>
        </is>
      </c>
      <c r="C11" s="28" t="inlineStr">
        <is>
          <t>2026-05</t>
        </is>
      </c>
      <c r="D11" s="28" t="inlineStr">
        <is>
          <t>10-yr, 40,000 t/yr at $25/ton tipping</t>
        </is>
      </c>
    </row>
    <row r="12">
      <c r="A12" s="28" t="inlineStr">
        <is>
          <t>EGLE LOIs — Lincoln / Flint / Coleman</t>
        </is>
      </c>
      <c r="B12" s="28" t="inlineStr">
        <is>
          <t>EM&amp;S / PublicLogic</t>
        </is>
      </c>
      <c r="C12" s="28" t="inlineStr">
        <is>
          <t>2026-05-19</t>
        </is>
      </c>
      <c r="D12" s="28" t="inlineStr">
        <is>
          <t>SUBMITTED</t>
        </is>
      </c>
    </row>
    <row r="13">
      <c r="A13" s="28" t="inlineStr">
        <is>
          <t>LOS — National Salvage / Lake State / Acadia / WasteWerx</t>
        </is>
      </c>
      <c r="B13" s="28" t="inlineStr">
        <is>
          <t>Partners</t>
        </is>
      </c>
      <c r="C13" s="28" t="inlineStr">
        <is>
          <t>2026</t>
        </is>
      </c>
      <c r="D13" s="28" t="inlineStr">
        <is>
          <t>DRAFT — mark draft, not commitment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2026-06-05T12:56:27Z</dcterms:created>
  <dcterms:modified xmlns:dcterms="http://purl.org/dc/terms/" xmlns:xsi="http://www.w3.org/2001/XMLSchema-instance" xsi:type="dcterms:W3CDTF">2026-06-05T12:56:27Z</dcterms:modified>
</cp:coreProperties>
</file>