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ing" sheetId="1" state="visible" r:id="rId1"/>
    <sheet xmlns:r="http://schemas.openxmlformats.org/officeDocument/2006/relationships" name="Service Catalog" sheetId="2" state="visible" r:id="rId2"/>
    <sheet xmlns:r="http://schemas.openxmlformats.org/officeDocument/2006/relationships" name="Signature Offerings" sheetId="3" state="visible" r:id="rId3"/>
    <sheet xmlns:r="http://schemas.openxmlformats.org/officeDocument/2006/relationships" name="The Model" sheetId="4" state="visible" r:id="rId4"/>
    <sheet xmlns:r="http://schemas.openxmlformats.org/officeDocument/2006/relationships" name="Transfer Assets" sheetId="5" state="visible" r:id="rId5"/>
    <sheet xmlns:r="http://schemas.openxmlformats.org/officeDocument/2006/relationships" name="Target Pipeline" sheetId="6" state="visible" r:id="rId6"/>
    <sheet xmlns:r="http://schemas.openxmlformats.org/officeDocument/2006/relationships" name="Lessons Learned" sheetId="7" state="visible" r:id="rId7"/>
    <sheet xmlns:r="http://schemas.openxmlformats.org/officeDocument/2006/relationships" name="The Promise" sheetId="8" state="visible" r:id="rId8"/>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1A1D20"/>
      <sz val="16"/>
    </font>
    <font>
      <b val="1"/>
      <color rgb="00A9772F"/>
      <sz val="11"/>
    </font>
    <font>
      <b val="1"/>
      <color rgb="00FFFFFF"/>
      <sz val="11"/>
    </font>
    <font>
      <b val="1"/>
      <color rgb="001A1D20"/>
      <sz val="15"/>
    </font>
    <font>
      <i val="1"/>
      <color rgb="006B6660"/>
      <sz val="9"/>
    </font>
    <font>
      <b val="1"/>
    </font>
    <font>
      <i val="1"/>
      <color rgb="000F4C3A"/>
      <sz val="9"/>
    </font>
    <font>
      <b val="1"/>
      <color rgb="000F4C3A"/>
      <sz val="12"/>
    </font>
    <font>
      <color rgb="001A1D20"/>
      <sz val="13"/>
    </font>
    <font/>
  </fonts>
  <fills count="7">
    <fill>
      <patternFill/>
    </fill>
    <fill>
      <patternFill patternType="gray125"/>
    </fill>
    <fill>
      <patternFill patternType="solid">
        <fgColor rgb="000F4C3A"/>
      </patternFill>
    </fill>
    <fill>
      <patternFill patternType="solid">
        <fgColor rgb="00ECEAE3"/>
      </patternFill>
    </fill>
    <fill>
      <patternFill patternType="solid">
        <fgColor rgb="001A1D20"/>
      </patternFill>
    </fill>
    <fill>
      <patternFill patternType="solid">
        <fgColor rgb="00FFF2CC"/>
      </patternFill>
    </fill>
    <fill>
      <patternFill patternType="solid">
        <fgColor rgb="00E3EAE5"/>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0" fillId="3" borderId="1" applyAlignment="1" pivotButton="0" quotePrefix="0" xfId="0">
      <alignment vertical="top" wrapText="1"/>
    </xf>
    <xf numFmtId="0" fontId="4" fillId="0" borderId="0" pivotButton="0" quotePrefix="0" xfId="0"/>
    <xf numFmtId="0" fontId="5" fillId="0" borderId="0" pivotButton="0" quotePrefix="0" xfId="0"/>
    <xf numFmtId="0" fontId="3" fillId="4" borderId="1" applyAlignment="1" pivotButton="0" quotePrefix="0" xfId="0">
      <alignment vertical="center" wrapText="1"/>
    </xf>
    <xf numFmtId="0" fontId="0" fillId="0" borderId="1" applyAlignment="1" pivotButton="0" quotePrefix="0" xfId="0">
      <alignment vertical="top" wrapText="1"/>
    </xf>
    <xf numFmtId="0" fontId="0" fillId="5" borderId="1" applyAlignment="1" pivotButton="0" quotePrefix="0" xfId="0">
      <alignment vertical="top" wrapText="1"/>
    </xf>
    <xf numFmtId="3" fontId="0" fillId="5" borderId="1" applyAlignment="1" pivotButton="0" quotePrefix="0" xfId="0">
      <alignment vertical="top" wrapText="1"/>
    </xf>
    <xf numFmtId="9" fontId="0" fillId="5" borderId="1" applyAlignment="1" pivotButton="0" quotePrefix="0" xfId="0">
      <alignment vertical="top" wrapText="1"/>
    </xf>
    <xf numFmtId="3" fontId="6" fillId="6" borderId="1" applyAlignment="1" pivotButton="0" quotePrefix="0" xfId="0">
      <alignment vertical="top" wrapText="1"/>
    </xf>
    <xf numFmtId="0" fontId="5"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4" customWidth="1" min="1" max="1"/>
    <col width="104" customWidth="1" min="2" max="2"/>
  </cols>
  <sheetData>
    <row r="1">
      <c r="A1" s="1" t="inlineStr">
        <is>
          <t>PUBLICLOGIC — Capabilities Workbook</t>
        </is>
      </c>
    </row>
    <row r="2">
      <c r="A2" s="2" t="inlineStr">
        <is>
          <t>Institutional Stewardship through Project Delivery  ·  v2.0  ·  June 2026</t>
        </is>
      </c>
    </row>
    <row r="4" ht="46" customHeight="1">
      <c r="A4" s="3" t="inlineStr">
        <is>
          <t>WHAT WE ARE</t>
        </is>
      </c>
      <c r="B4" s="4" t="inlineStr">
        <is>
          <t>PublicLogic applies Institutional Stewardship to help communities, public-sector organizations, and community-serving institutions move important projects from planning to implementation.</t>
        </is>
      </c>
    </row>
    <row r="5" ht="46" customHeight="1">
      <c r="A5" s="3" t="inlineStr">
        <is>
          <t>THE DISTINCTION</t>
        </is>
      </c>
      <c r="B5" s="4" t="inlineStr">
        <is>
          <t>Implementation is the service. Institutional Stewardship is the method. The market buys project delivery; PublicLogic delivers Institutional Stewardship. Both are true; neither is sacrificed for the other.</t>
        </is>
      </c>
    </row>
    <row r="6" ht="46" customHeight="1">
      <c r="A6" s="3" t="inlineStr">
        <is>
          <t>WHAT WE ARE NOT</t>
        </is>
      </c>
      <c r="B6" s="4" t="inlineStr">
        <is>
          <t>Not a grant-writing firm. Not an AI consulting firm. Not a traditional planning firm. We don't produce reports or plans that sit on shelves.</t>
        </is>
      </c>
    </row>
    <row r="7" ht="46" customHeight="1">
      <c r="A7" s="3" t="inlineStr">
        <is>
          <t>CLIENTS BUY / WE DELIVER</t>
        </is>
      </c>
      <c r="B7" s="4" t="inlineStr">
        <is>
          <t>Clients buy funding, progress, capacity, and execution. PublicLogic delivers Institutional Stewardship. That is not a contradiction — it is the business model.</t>
        </is>
      </c>
    </row>
    <row r="8" ht="46" customHeight="1">
      <c r="A8" s="3" t="inlineStr">
        <is>
          <t>POSITIONING STATEMENT</t>
        </is>
      </c>
      <c r="B8" s="4" t="inlineStr">
        <is>
          <t>PublicLogic helps communities, public-sector organizations, and community-serving institutions move important projects from planning to implementation. We do this through Institutional Stewardship — preserving, governing, transferring, and operationalizing the knowledge required for long-term success.</t>
        </is>
      </c>
    </row>
    <row r="9" ht="46" customHeight="1">
      <c r="A9" s="3" t="inlineStr">
        <is>
          <t>INSTITUTIONAL STEWARDSHIP (definition)</t>
        </is>
      </c>
      <c r="B9" s="4" t="inlineStr">
        <is>
          <t>The deliberate practice of preserving, governing, transferring, and operationalizing organizational knowledge so critical functions remain durable across turnover, changing priorities, and organizational change. An operating discipline, applied to every engagement regardless of project type.</t>
        </is>
      </c>
    </row>
    <row r="10" ht="46" customHeight="1">
      <c r="A10" s="3" t="inlineStr">
        <is>
          <t>SUCCESS STANDARD</t>
        </is>
      </c>
      <c r="B10" s="4" t="inlineStr">
        <is>
          <t>A successful engagement reduces future dependency. The organization becomes more capable; the process more durable; the knowledge more accessible.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A1" sqref="A1"/>
    </sheetView>
  </sheetViews>
  <sheetFormatPr baseColWidth="8" defaultRowHeight="15"/>
  <cols>
    <col width="22" customWidth="1" min="1" max="1"/>
    <col width="34" customWidth="1" min="2" max="2"/>
    <col width="40" customWidth="1" min="3" max="3"/>
    <col width="40" customWidth="1" min="4" max="4"/>
    <col width="40" customWidth="1" min="5" max="5"/>
  </cols>
  <sheetData>
    <row r="1">
      <c r="A1" s="5" t="inlineStr">
        <is>
          <t>Core Service Lines</t>
        </is>
      </c>
    </row>
    <row r="2">
      <c r="A2" s="6" t="inlineStr">
        <is>
          <t>Three services, one discipline. Stewardship objective shown per line.</t>
        </is>
      </c>
    </row>
    <row r="4">
      <c r="A4" s="7" t="inlineStr">
        <is>
          <t>Service</t>
        </is>
      </c>
      <c r="B4" s="7" t="inlineStr">
        <is>
          <t>Purpose</t>
        </is>
      </c>
      <c r="C4" s="7" t="inlineStr">
        <is>
          <t>Common Engagements</t>
        </is>
      </c>
      <c r="D4" s="7" t="inlineStr">
        <is>
          <t>Deliverables</t>
        </is>
      </c>
      <c r="E4" s="7" t="inlineStr">
        <is>
          <t>Stewardship Objective</t>
        </is>
      </c>
    </row>
    <row r="5">
      <c r="A5" s="8" t="inlineStr">
        <is>
          <t>Project Development</t>
        </is>
      </c>
      <c r="B5" s="8" t="inlineStr">
        <is>
          <t>Transform ideas, priorities, and challenges into actionable projects.</t>
        </is>
      </c>
      <c r="C5" s="8" t="inlineStr">
        <is>
          <t>Strategic initiatives · capital projects · community development · housing · infrastructure · program development</t>
        </is>
      </c>
      <c r="D5" s="8" t="inlineStr">
        <is>
          <t>Project Charter · Scope Definition · Stakeholder Map · Readiness Assessment · Action Roadmap</t>
        </is>
      </c>
      <c r="E5" s="8" t="inlineStr">
        <is>
          <t>Create clarity before resources are committed.</t>
        </is>
      </c>
    </row>
    <row r="6">
      <c r="A6" s="8" t="inlineStr">
        <is>
          <t>Funding Strategy</t>
        </is>
      </c>
      <c r="B6" s="8" t="inlineStr">
        <is>
          <t>Identify, organize, and pursue sustainable funding opportunities.</t>
        </is>
      </c>
      <c r="C6" s="8" t="inlineStr">
        <is>
          <t>Grant development · capital planning · funding roadmaps · partnership development · revenue strategy</t>
        </is>
      </c>
      <c r="D6" s="8" t="inlineStr">
        <is>
          <t>Funding Scan · Funding Roadmap · Application Support · Capital Strategy · Partner Coordination</t>
        </is>
      </c>
      <c r="E6" s="8" t="inlineStr">
        <is>
          <t>Align funding with long-term organizational capacity.</t>
        </is>
      </c>
    </row>
    <row r="7">
      <c r="A7" s="8" t="inlineStr">
        <is>
          <t>Implementation Support</t>
        </is>
      </c>
      <c r="B7" s="8" t="inlineStr">
        <is>
          <t>Move projects from planning into execution.</t>
        </is>
      </c>
      <c r="C7" s="8" t="inlineStr">
        <is>
          <t>Strategic-plan implementation · capital project coordination · program launch · community engagement · readiness</t>
        </is>
      </c>
      <c r="D7" s="8" t="inlineStr">
        <is>
          <t>Implementation Framework · Accountability Structure · Progress Tracking · Facilitation · Stakeholder Coordination</t>
        </is>
      </c>
      <c r="E7" s="8" t="inlineStr">
        <is>
          <t>Ensure important work survives beyond its initial champions.</t>
        </is>
      </c>
    </row>
    <row r="8">
      <c r="A8" s="8" t="inlineStr">
        <is>
          <t>Capacity Support</t>
        </is>
      </c>
      <c r="B8" s="8" t="inlineStr">
        <is>
          <t>Provide the institutional capacity to carry the work — directly.</t>
        </is>
      </c>
      <c r="C8" s="8" t="inlineStr">
        <is>
          <t>Interim / fractional support · special-project support · administrative capacity · program coordination  (Swanzey · Hubbardston · Sutton · Michigan LTC)</t>
        </is>
      </c>
      <c r="D8" s="8" t="inlineStr">
        <is>
          <t>Embedded Capacity Plan · Role / Coverage Map · Coordination Cadence · Continuity Handoff</t>
        </is>
      </c>
      <c r="E8" s="8" t="inlineStr">
        <is>
          <t>Hold the Chair so critical functions stay covered through turnover and transition.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ySplit="4" topLeftCell="A5" activePane="bottomLeft" state="frozen"/>
      <selection pane="bottomLeft" activeCell="A1" sqref="A1"/>
    </sheetView>
  </sheetViews>
  <sheetFormatPr baseColWidth="8" defaultRowHeight="15"/>
  <cols>
    <col width="30" customWidth="1" min="1" max="1"/>
    <col width="40" customWidth="1" min="2" max="2"/>
    <col width="38" customWidth="1" min="3" max="3"/>
    <col width="26" customWidth="1" min="4" max="4"/>
    <col width="16" customWidth="1" min="5" max="5"/>
    <col width="16" customWidth="1" min="6" max="6"/>
  </cols>
  <sheetData>
    <row r="1">
      <c r="A1" s="5" t="inlineStr">
        <is>
          <t>Signature Offerings</t>
        </is>
      </c>
    </row>
    <row r="2">
      <c r="A2" s="6" t="inlineStr">
        <is>
          <t>Three ways to start. Yellow = fill in scope, duration, and fee per engagement.</t>
        </is>
      </c>
    </row>
    <row r="4">
      <c r="A4" s="7" t="inlineStr">
        <is>
          <t>Offering</t>
        </is>
      </c>
      <c r="B4" s="7" t="inlineStr">
        <is>
          <t>Purpose</t>
        </is>
      </c>
      <c r="C4" s="7" t="inlineStr">
        <is>
          <t>Output</t>
        </is>
      </c>
      <c r="D4" s="7" t="inlineStr">
        <is>
          <t>Scope (fill)</t>
        </is>
      </c>
      <c r="E4" s="7" t="inlineStr">
        <is>
          <t>Duration (fill)</t>
        </is>
      </c>
      <c r="F4" s="7" t="inlineStr">
        <is>
          <t>Fee (fill)</t>
        </is>
      </c>
    </row>
    <row r="5">
      <c r="A5" s="8" t="inlineStr">
        <is>
          <t>Project Development Sprint</t>
        </is>
      </c>
      <c r="B5" s="8" t="inlineStr">
        <is>
          <t>Move an idea into an actionable project.</t>
        </is>
      </c>
      <c r="C5" s="8" t="inlineStr">
        <is>
          <t>Project Development Roadmap</t>
        </is>
      </c>
      <c r="D5" s="9" t="inlineStr"/>
      <c r="E5" s="9" t="inlineStr"/>
      <c r="F5" s="9" t="inlineStr"/>
    </row>
    <row r="6">
      <c r="A6" s="8" t="inlineStr">
        <is>
          <t>Funding Strategy Sprint</t>
        </is>
      </c>
      <c r="B6" s="8" t="inlineStr">
        <is>
          <t>Identify realistic funding pathways and readiness requirements.</t>
        </is>
      </c>
      <c r="C6" s="8" t="inlineStr">
        <is>
          <t>Funding Roadmap</t>
        </is>
      </c>
      <c r="D6" s="9" t="inlineStr"/>
      <c r="E6" s="9" t="inlineStr"/>
      <c r="F6" s="9" t="inlineStr"/>
    </row>
    <row r="7">
      <c r="A7" s="8" t="inlineStr">
        <is>
          <t>Implementation Support Partnership</t>
        </is>
      </c>
      <c r="B7" s="8" t="inlineStr">
        <is>
          <t>Provide coordination and stewardship capacity through implementation.</t>
        </is>
      </c>
      <c r="C7" s="8" t="inlineStr">
        <is>
          <t>Implementation Framework + Accountability Structure</t>
        </is>
      </c>
      <c r="D7" s="9" t="inlineStr"/>
      <c r="E7" s="9" t="inlineStr"/>
      <c r="F7" s="9" t="inlineStr"/>
    </row>
    <row r="8">
      <c r="A8" s="8" t="inlineStr">
        <is>
          <t>Capacity Support Engagement</t>
        </is>
      </c>
      <c r="B8" s="8" t="inlineStr">
        <is>
          <t>Provide interim / fractional capacity to carry a function or special project.</t>
        </is>
      </c>
      <c r="C8" s="8" t="inlineStr">
        <is>
          <t>Embedded Capacity Plan + Continuity Handoff</t>
        </is>
      </c>
      <c r="D8" s="9" t="inlineStr"/>
      <c r="E8" s="9" t="inlineStr"/>
      <c r="F8" s="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16" customWidth="1" min="1" max="1"/>
    <col width="52" customWidth="1" min="2" max="2"/>
    <col width="52" customWidth="1" min="3" max="3"/>
  </cols>
  <sheetData>
    <row r="1">
      <c r="A1" s="5" t="inlineStr">
        <is>
          <t>The Nathan + Allie Model</t>
        </is>
      </c>
    </row>
    <row r="2">
      <c r="A2" s="6" t="inlineStr">
        <is>
          <t>Institutional systems and human systems are interdependent — projects fail when either is ignored.</t>
        </is>
      </c>
    </row>
    <row r="4">
      <c r="A4" s="7" t="inlineStr"/>
      <c r="B4" s="7" t="inlineStr">
        <is>
          <t>Nathan — Institutional Systems</t>
        </is>
      </c>
      <c r="C4" s="7" t="inlineStr">
        <is>
          <t>Allie — Human Systems</t>
        </is>
      </c>
    </row>
    <row r="5">
      <c r="A5" s="8" t="inlineStr">
        <is>
          <t>Expertise</t>
        </is>
      </c>
      <c r="B5" s="8" t="inlineStr">
        <is>
          <t>Municipal administration · finance · capital planning · procurement · grants · economic development · governance · project delivery</t>
        </is>
      </c>
      <c r="C5" s="8" t="inlineStr">
        <is>
          <t>Organizational readiness · stakeholder engagement · leadership development · program design · evaluation · behavioral systems · change management</t>
        </is>
      </c>
    </row>
    <row r="6">
      <c r="A6" s="8" t="inlineStr">
        <is>
          <t>Experience</t>
        </is>
      </c>
      <c r="B6" s="8" t="inlineStr">
        <is>
          <t>Town Administrator · City Councilor · Town Clerk · Consultant</t>
        </is>
      </c>
      <c r="C6" s="8" t="inlineStr">
        <is>
          <t>Clinical leadership · organizational consulting · program development · workforce systems</t>
        </is>
      </c>
    </row>
    <row r="7">
      <c r="A7" s="8" t="inlineStr">
        <is>
          <t>The pairing</t>
        </is>
      </c>
      <c r="B7" s="8" t="inlineStr">
        <is>
          <t>Most firms understand systems OR people.</t>
        </is>
      </c>
      <c r="C7" s="8" t="inlineStr">
        <is>
          <t>PublicLogic is designed to understand both.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9"/>
  <sheetViews>
    <sheetView workbookViewId="0">
      <pane ySplit="4" topLeftCell="A5" activePane="bottomLeft" state="frozen"/>
      <selection pane="bottomLeft" activeCell="A1" sqref="A1"/>
    </sheetView>
  </sheetViews>
  <sheetFormatPr baseColWidth="8" defaultRowHeight="15"/>
  <cols>
    <col width="18" customWidth="1" min="1" max="1"/>
    <col width="56" customWidth="1" min="2" max="2"/>
    <col width="30" customWidth="1" min="3" max="3"/>
  </cols>
  <sheetData>
    <row r="1">
      <c r="A1" s="5" t="inlineStr">
        <is>
          <t>Transfer Assets</t>
        </is>
      </c>
    </row>
    <row r="2">
      <c r="A2" s="6" t="inlineStr">
        <is>
          <t>A core principle of stewardship: every engagement creates reusable organizational assets.</t>
        </is>
      </c>
    </row>
    <row r="4">
      <c r="A4" s="7" t="inlineStr">
        <is>
          <t>Asset</t>
        </is>
      </c>
      <c r="B4" s="7" t="inlineStr">
        <is>
          <t>What it is</t>
        </is>
      </c>
      <c r="C4" s="7" t="inlineStr">
        <is>
          <t>Leaves the client with</t>
        </is>
      </c>
    </row>
    <row r="5">
      <c r="A5" s="8" t="inlineStr">
        <is>
          <t>LogicCommons</t>
        </is>
      </c>
      <c r="B5" s="8" t="inlineStr">
        <is>
          <t>Shared frameworks, templates, and operational resources.</t>
        </is>
      </c>
      <c r="C5" s="8" t="inlineStr">
        <is>
          <t>Reusable standards</t>
        </is>
      </c>
    </row>
    <row r="6">
      <c r="A6" s="8" t="inlineStr">
        <is>
          <t>Workbooks</t>
        </is>
      </c>
      <c r="B6" s="8" t="inlineStr">
        <is>
          <t>Structured implementation and planning guides.</t>
        </is>
      </c>
      <c r="C6" s="8" t="inlineStr">
        <is>
          <t>Repeatable process</t>
        </is>
      </c>
    </row>
    <row r="7">
      <c r="A7" s="8" t="inlineStr">
        <is>
          <t>CaseSpaces</t>
        </is>
      </c>
      <c r="B7" s="8" t="inlineStr">
        <is>
          <t>Project-specific operating environments.</t>
        </is>
      </c>
      <c r="C7" s="8" t="inlineStr">
        <is>
          <t>A governed record</t>
        </is>
      </c>
    </row>
    <row r="8">
      <c r="A8" s="8" t="inlineStr">
        <is>
          <t>PuddleJumper</t>
        </is>
      </c>
      <c r="B8" s="8" t="inlineStr">
        <is>
          <t>Process architecture and workflow infrastructure.</t>
        </is>
      </c>
      <c r="C8" s="8" t="inlineStr">
        <is>
          <t>Operating continuity</t>
        </is>
      </c>
    </row>
    <row r="9">
      <c r="A9" s="8" t="inlineStr">
        <is>
          <t>VAULT</t>
        </is>
      </c>
      <c r="B9" s="8" t="inlineStr">
        <is>
          <t>Knowledge preservation and continuity framework.</t>
        </is>
      </c>
      <c r="C9" s="8" t="inlineStr">
        <is>
          <t>Durability across turnover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22" customWidth="1" min="1" max="1"/>
    <col width="26" customWidth="1" min="2" max="2"/>
    <col width="26" customWidth="1" min="3" max="3"/>
    <col width="28" customWidth="1" min="4" max="4"/>
    <col width="16" customWidth="1" min="5" max="5"/>
    <col width="11" customWidth="1" min="6" max="6"/>
    <col width="16" customWidth="1" min="7" max="7"/>
    <col width="28" customWidth="1" min="8" max="8"/>
  </cols>
  <sheetData>
    <row r="1">
      <c r="A1" s="5" t="inlineStr">
        <is>
          <t>Target Markets &amp; Pipeline (Tier 1)</t>
        </is>
      </c>
    </row>
    <row r="2">
      <c r="A2" s="6" t="inlineStr">
        <is>
          <t>A decision tool, not a list. Fill yellow cells; Weighted Value = Revenue x Probability. Sort by Weighted Value (descending) to rank.</t>
        </is>
      </c>
    </row>
    <row r="4">
      <c r="A4" s="7" t="inlineStr">
        <is>
          <t>Segment</t>
        </is>
      </c>
      <c r="B4" s="7" t="inlineStr">
        <is>
          <t>Target</t>
        </is>
      </c>
      <c r="C4" s="7" t="inlineStr">
        <is>
          <t>Authority to Buy</t>
        </is>
      </c>
      <c r="D4" s="7" t="inlineStr">
        <is>
          <t>Relationship</t>
        </is>
      </c>
      <c r="E4" s="7" t="inlineStr">
        <is>
          <t>Revenue Potential ($)</t>
        </is>
      </c>
      <c r="F4" s="7" t="inlineStr">
        <is>
          <t>Probability</t>
        </is>
      </c>
      <c r="G4" s="7" t="inlineStr">
        <is>
          <t>Weighted Value ($)</t>
        </is>
      </c>
      <c r="H4" s="7" t="inlineStr">
        <is>
          <t>Next Action</t>
        </is>
      </c>
    </row>
    <row r="5">
      <c r="A5" s="8" t="inlineStr">
        <is>
          <t>Regional Planning Agencies</t>
        </is>
      </c>
      <c r="B5" s="8" t="inlineStr">
        <is>
          <t>CMRPC</t>
        </is>
      </c>
      <c r="C5" s="9" t="inlineStr">
        <is>
          <t>Yes — active contracts &amp; pipelines</t>
        </is>
      </c>
      <c r="D5" s="9" t="inlineStr">
        <is>
          <t>Developing</t>
        </is>
      </c>
      <c r="E5" s="10" t="inlineStr"/>
      <c r="F5" s="11" t="inlineStr"/>
      <c r="G5" s="12">
        <f>IF(AND(ISNUMBER(E5),ISNUMBER(F5)),E5*F5,0)</f>
        <v/>
      </c>
    </row>
    <row r="6">
      <c r="A6" s="8" t="inlineStr">
        <is>
          <t>Regional Planning Agencies</t>
        </is>
      </c>
      <c r="B6" s="8" t="inlineStr">
        <is>
          <t>MRPC</t>
        </is>
      </c>
      <c r="C6" s="9" t="inlineStr">
        <is>
          <t>Yes — active pipelines</t>
        </is>
      </c>
      <c r="D6" s="9" t="inlineStr">
        <is>
          <t>Developing</t>
        </is>
      </c>
      <c r="E6" s="10" t="inlineStr"/>
      <c r="F6" s="11" t="inlineStr"/>
      <c r="G6" s="12">
        <f>IF(AND(ISNUMBER(E6),ISNUMBER(F6)),E6*F6,0)</f>
        <v/>
      </c>
    </row>
    <row r="7">
      <c r="A7" s="8" t="inlineStr">
        <is>
          <t>Regional Planning Agencies</t>
        </is>
      </c>
      <c r="B7" s="8" t="inlineStr">
        <is>
          <t>MVPC</t>
        </is>
      </c>
      <c r="C7" s="9" t="inlineStr">
        <is>
          <t>Yes — project pipelines</t>
        </is>
      </c>
      <c r="D7" s="9" t="inlineStr">
        <is>
          <t>Cold</t>
        </is>
      </c>
      <c r="E7" s="10" t="inlineStr"/>
      <c r="F7" s="11" t="inlineStr"/>
      <c r="G7" s="12">
        <f>IF(AND(ISNUMBER(E7),ISNUMBER(F7)),E7*F7,0)</f>
        <v/>
      </c>
    </row>
    <row r="8">
      <c r="A8" s="8" t="inlineStr">
        <is>
          <t>Regional Planning Agencies</t>
        </is>
      </c>
      <c r="B8" s="8" t="inlineStr">
        <is>
          <t>Strafford RPC</t>
        </is>
      </c>
      <c r="C8" s="9" t="inlineStr">
        <is>
          <t>Yes</t>
        </is>
      </c>
      <c r="D8" s="9" t="inlineStr">
        <is>
          <t>Cold</t>
        </is>
      </c>
      <c r="E8" s="10" t="inlineStr"/>
      <c r="F8" s="11" t="inlineStr"/>
      <c r="G8" s="12">
        <f>IF(AND(ISNUMBER(E8),ISNUMBER(F8)),E8*F8,0)</f>
        <v/>
      </c>
    </row>
    <row r="9">
      <c r="A9" s="8" t="inlineStr">
        <is>
          <t>Engineering Firms</t>
        </is>
      </c>
      <c r="B9" s="8" t="inlineStr">
        <is>
          <t>Fuss &amp; O'Neill</t>
        </is>
      </c>
      <c r="C9" s="9" t="inlineStr">
        <is>
          <t>Yes — buys as sub/teaming</t>
        </is>
      </c>
      <c r="D9" s="9" t="inlineStr">
        <is>
          <t>Cold</t>
        </is>
      </c>
      <c r="E9" s="10" t="inlineStr"/>
      <c r="F9" s="11" t="inlineStr"/>
      <c r="G9" s="12">
        <f>IF(AND(ISNUMBER(E9),ISNUMBER(F9)),E9*F9,0)</f>
        <v/>
      </c>
    </row>
    <row r="10">
      <c r="A10" s="8" t="inlineStr">
        <is>
          <t>Engineering Firms</t>
        </is>
      </c>
      <c r="B10" s="8" t="inlineStr">
        <is>
          <t>Weston &amp; Sampson</t>
        </is>
      </c>
      <c r="C10" s="9" t="inlineStr">
        <is>
          <t>Yes — teaming</t>
        </is>
      </c>
      <c r="D10" s="9" t="inlineStr">
        <is>
          <t>Cold</t>
        </is>
      </c>
      <c r="E10" s="10" t="inlineStr"/>
      <c r="F10" s="11" t="inlineStr"/>
      <c r="G10" s="12">
        <f>IF(AND(ISNUMBER(E10),ISNUMBER(F10)),E10*F10,0)</f>
        <v/>
      </c>
    </row>
    <row r="11">
      <c r="A11" s="8" t="inlineStr">
        <is>
          <t>Engineering Firms</t>
        </is>
      </c>
      <c r="B11" s="8" t="inlineStr">
        <is>
          <t>Tighe &amp; Bond</t>
        </is>
      </c>
      <c r="C11" s="9" t="inlineStr">
        <is>
          <t>Yes — teaming</t>
        </is>
      </c>
      <c r="D11" s="9" t="inlineStr">
        <is>
          <t>Cold</t>
        </is>
      </c>
      <c r="E11" s="10" t="inlineStr"/>
      <c r="F11" s="11" t="inlineStr"/>
      <c r="G11" s="12">
        <f>IF(AND(ISNUMBER(E11),ISNUMBER(F11)),E11*F11,0)</f>
        <v/>
      </c>
    </row>
    <row r="12">
      <c r="A12" s="8" t="inlineStr">
        <is>
          <t>Engineering Firms</t>
        </is>
      </c>
      <c r="B12" s="8" t="inlineStr">
        <is>
          <t>BETA</t>
        </is>
      </c>
      <c r="C12" s="9" t="inlineStr">
        <is>
          <t>Yes — teaming</t>
        </is>
      </c>
      <c r="D12" s="9" t="inlineStr">
        <is>
          <t>Cold</t>
        </is>
      </c>
      <c r="E12" s="10" t="inlineStr"/>
      <c r="F12" s="11" t="inlineStr"/>
      <c r="G12" s="12">
        <f>IF(AND(ISNUMBER(E12),ISNUMBER(F12)),E12*F12,0)</f>
        <v/>
      </c>
    </row>
    <row r="13">
      <c r="A13" s="8" t="inlineStr">
        <is>
          <t>Municipal Consulting</t>
        </is>
      </c>
      <c r="B13" s="8" t="inlineStr">
        <is>
          <t>Community Paradigm (+ similar)</t>
        </is>
      </c>
      <c r="C13" s="9" t="inlineStr">
        <is>
          <t>Yes — subcontract</t>
        </is>
      </c>
      <c r="D13" s="9" t="inlineStr">
        <is>
          <t>Cold</t>
        </is>
      </c>
      <c r="E13" s="10" t="inlineStr"/>
      <c r="F13" s="11" t="inlineStr"/>
      <c r="G13" s="12">
        <f>IF(AND(ISNUMBER(E13),ISNUMBER(F13)),E13*F13,0)</f>
        <v/>
      </c>
    </row>
    <row r="14">
      <c r="A14" s="8" t="inlineStr">
        <is>
          <t>Municipalities</t>
        </is>
      </c>
      <c r="B14" s="8" t="inlineStr">
        <is>
          <t>Direct (by relationship)</t>
        </is>
      </c>
      <c r="C14" s="9" t="inlineStr">
        <is>
          <t>Yes — direct budget</t>
        </is>
      </c>
      <c r="D14" s="9" t="inlineStr">
        <is>
          <t>Warm — existing (Sutton/Shrewsbury/Phillipston)</t>
        </is>
      </c>
      <c r="E14" s="10" t="inlineStr"/>
      <c r="F14" s="11" t="inlineStr"/>
      <c r="G14" s="12">
        <f>IF(AND(ISNUMBER(E14),ISNUMBER(F14)),E14*F14,0)</f>
        <v/>
      </c>
    </row>
    <row r="15">
      <c r="A15" s="8" t="inlineStr">
        <is>
          <t>Existing Network</t>
        </is>
      </c>
      <c r="B15" s="8" t="inlineStr">
        <is>
          <t>Warm relationships</t>
        </is>
      </c>
      <c r="C15" s="9" t="inlineStr">
        <is>
          <t>Varies</t>
        </is>
      </c>
      <c r="D15" s="9" t="inlineStr">
        <is>
          <t>Strong — warmest, shortest cycle</t>
        </is>
      </c>
      <c r="E15" s="10" t="inlineStr"/>
      <c r="F15" s="11" t="inlineStr"/>
      <c r="G15" s="12">
        <f>IF(AND(ISNUMBER(E15),ISNUMBER(F15)),E15*F15,0)</f>
        <v/>
      </c>
    </row>
    <row r="17">
      <c r="A17" s="13" t="inlineStr">
        <is>
          <t>How to use: enter Revenue Potential ($) and Probability (%) for each target; Weighted Value computes automatically; sort the table by Weighted Value descending to rank. Then commit to the top 5 for the month.</t>
        </is>
      </c>
    </row>
    <row r="18"/>
    <row r="19">
      <c r="A19" s="14" t="inlineStr">
        <is>
          <t>BD principle: don't convince organizations they have a hidden problem — help them solve a known one. Lead with capacity, funding, progress, execution. Warmest relationships first (shortest sales cycle).</t>
        </is>
      </c>
    </row>
    <row r="20"/>
  </sheetData>
  <mergeCells count="2">
    <mergeCell ref="A17:H18"/>
    <mergeCell ref="A19:H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1"/>
  <sheetViews>
    <sheetView workbookViewId="0">
      <pane ySplit="4" topLeftCell="A5" activePane="bottomLeft" state="frozen"/>
      <selection pane="bottomLeft" activeCell="A1" sqref="A1"/>
    </sheetView>
  </sheetViews>
  <sheetFormatPr baseColWidth="8" defaultRowHeight="15"/>
  <cols>
    <col width="40" customWidth="1" min="1" max="1"/>
    <col width="40" customWidth="1" min="2" max="2"/>
  </cols>
  <sheetData>
    <row r="1">
      <c r="A1" s="5" t="inlineStr">
        <is>
          <t>Lessons Learned · AI for Impact</t>
        </is>
      </c>
    </row>
    <row r="2">
      <c r="A2" s="6" t="inlineStr">
        <is>
          <t>People buy outcomes. The methodology matters, but outcomes drive the purchasing decision.</t>
        </is>
      </c>
    </row>
    <row r="4">
      <c r="A4" s="7" t="inlineStr">
        <is>
          <t>What we thought they wanted</t>
        </is>
      </c>
      <c r="B4" s="7" t="inlineStr">
        <is>
          <t>What they actually want</t>
        </is>
      </c>
    </row>
    <row r="5">
      <c r="A5" s="8" t="inlineStr">
        <is>
          <t>AI</t>
        </is>
      </c>
      <c r="B5" s="8" t="inlineStr">
        <is>
          <t>Capacity</t>
        </is>
      </c>
    </row>
    <row r="6">
      <c r="A6" s="8" t="inlineStr">
        <is>
          <t>Innovation</t>
        </is>
      </c>
      <c r="B6" s="8" t="inlineStr">
        <is>
          <t>Funding</t>
        </is>
      </c>
    </row>
    <row r="7">
      <c r="A7" s="8" t="inlineStr">
        <is>
          <t>Readiness</t>
        </is>
      </c>
      <c r="B7" s="8" t="inlineStr">
        <is>
          <t>Progress</t>
        </is>
      </c>
    </row>
    <row r="8">
      <c r="A8" s="8" t="inlineStr">
        <is>
          <t>Transformation</t>
        </is>
      </c>
      <c r="B8" s="8" t="inlineStr">
        <is>
          <t>Execution</t>
        </is>
      </c>
    </row>
    <row r="10">
      <c r="A10" s="15" t="inlineStr">
        <is>
          <t>Key insight: lead with the known problem, not a hidden one. The method (Institutional Stewardship) is how we deliver — outcomes are why they buy.</t>
        </is>
      </c>
    </row>
    <row r="11"/>
  </sheetData>
  <mergeCells count="1">
    <mergeCell ref="A10:B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5" t="inlineStr">
        <is>
          <t>The PublicLogic Promise</t>
        </is>
      </c>
    </row>
    <row r="4" ht="30" customHeight="1">
      <c r="A4" s="16" t="inlineStr">
        <is>
          <t>PublicLogic is not in the business of producing reports.</t>
        </is>
      </c>
    </row>
    <row r="5" ht="30" customHeight="1">
      <c r="A5" s="16" t="inlineStr">
        <is>
          <t>PublicLogic is not in the business of producing plans that sit on shelves.</t>
        </is>
      </c>
    </row>
    <row r="6" ht="30" customHeight="1">
      <c r="A6" s="16" t="inlineStr">
        <is>
          <t>PublicLogic is in the business of helping organizations move important work forward — while ensuring the knowledge, systems, and structures required to sustain that work remain intact.</t>
        </is>
      </c>
    </row>
    <row r="7" ht="30" customHeight="1">
      <c r="A7" s="17" t="inlineStr"/>
    </row>
    <row r="8" ht="30" customHeight="1">
      <c r="A8" s="15" t="inlineStr">
        <is>
          <t>Internal strategic principle:</t>
        </is>
      </c>
    </row>
    <row r="9" ht="30" customHeight="1">
      <c r="A9" s="16" t="inlineStr">
        <is>
          <t>The market buys project delivery. PublicLogic delivers Institutional Stewardship. Both statements are true. Neither should be sacrificed for the 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2026-06-09T08:46:22Z</dcterms:created>
  <dcterms:modified xmlns:dcterms="http://purl.org/dc/terms/" xmlns:xsi="http://www.w3.org/2001/XMLSchema-instance" xsi:type="dcterms:W3CDTF">2026-06-09T08:46:22Z</dcterms:modified>
</cp:coreProperties>
</file>