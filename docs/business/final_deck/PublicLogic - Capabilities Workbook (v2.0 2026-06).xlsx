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ing" sheetId="1" state="visible" r:id="rId1"/>
    <sheet xmlns:r="http://schemas.openxmlformats.org/officeDocument/2006/relationships" name="Service Catalog" sheetId="2" state="visible" r:id="rId2"/>
    <sheet xmlns:r="http://schemas.openxmlformats.org/officeDocument/2006/relationships" name="Signature Offerings" sheetId="3" state="visible" r:id="rId3"/>
    <sheet xmlns:r="http://schemas.openxmlformats.org/officeDocument/2006/relationships" name="The Model" sheetId="4" state="visible" r:id="rId4"/>
    <sheet xmlns:r="http://schemas.openxmlformats.org/officeDocument/2006/relationships" name="Transfer Assets" sheetId="5" state="visible" r:id="rId5"/>
    <sheet xmlns:r="http://schemas.openxmlformats.org/officeDocument/2006/relationships" name="Proof" sheetId="6" state="visible" r:id="rId6"/>
    <sheet xmlns:r="http://schemas.openxmlformats.org/officeDocument/2006/relationships" name="Pipeline &amp; Flow" sheetId="7" state="visible" r:id="rId7"/>
    <sheet xmlns:r="http://schemas.openxmlformats.org/officeDocument/2006/relationships" name="Lessons Learned" sheetId="8" state="visible" r:id="rId8"/>
    <sheet xmlns:r="http://schemas.openxmlformats.org/officeDocument/2006/relationships" name="The Promis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A1D20"/>
      <sz val="16"/>
    </font>
    <font>
      <b val="1"/>
      <color rgb="00A9772F"/>
      <sz val="11"/>
    </font>
    <font>
      <b val="1"/>
      <color rgb="00FFFFFF"/>
      <sz val="11"/>
    </font>
    <font>
      <b val="1"/>
      <color rgb="000F4C3A"/>
      <sz val="12"/>
    </font>
    <font>
      <b val="1"/>
      <color rgb="00A9772F"/>
      <sz val="12"/>
    </font>
    <font>
      <b val="1"/>
      <color rgb="00A9772F"/>
    </font>
    <font>
      <b val="1"/>
      <color rgb="001A1D20"/>
      <sz val="15"/>
    </font>
    <font>
      <i val="1"/>
      <color rgb="006B6660"/>
      <sz val="9"/>
    </font>
    <font>
      <b val="1"/>
    </font>
    <font>
      <i val="1"/>
      <color rgb="000F4C3A"/>
      <sz val="9"/>
    </font>
    <font>
      <color rgb="001A1D20"/>
      <sz val="13"/>
    </font>
    <font/>
  </fonts>
  <fills count="7">
    <fill>
      <patternFill/>
    </fill>
    <fill>
      <patternFill patternType="gray125"/>
    </fill>
    <fill>
      <patternFill patternType="solid">
        <fgColor rgb="000F4C3A"/>
      </patternFill>
    </fill>
    <fill>
      <patternFill patternType="solid">
        <fgColor rgb="00ECEAE3"/>
      </patternFill>
    </fill>
    <fill>
      <patternFill patternType="solid">
        <fgColor rgb="00E3EAE5"/>
      </patternFill>
    </fill>
    <fill>
      <patternFill patternType="solid">
        <fgColor rgb="001A1D2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3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3" fontId="0" fillId="6" borderId="1" applyAlignment="1" pivotButton="0" quotePrefix="0" xfId="0">
      <alignment vertical="top" wrapText="1"/>
    </xf>
    <xf numFmtId="9" fontId="0" fillId="6" borderId="1" applyAlignment="1" pivotButton="0" quotePrefix="0" xfId="0">
      <alignment vertical="top" wrapText="1"/>
    </xf>
    <xf numFmtId="3" fontId="9" fillId="4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PUBLICLOGIC — Capabilities Workbook</t>
        </is>
      </c>
    </row>
    <row r="2">
      <c r="A2" s="2" t="inlineStr">
        <is>
          <t>Institutional Stewardship through Project Delivery  ·  v2.0  ·  June 2026</t>
        </is>
      </c>
    </row>
    <row r="4" ht="42" customHeight="1">
      <c r="A4" s="3" t="inlineStr">
        <is>
          <t>NORTH STAR</t>
        </is>
      </c>
      <c r="B4" s="4" t="inlineStr">
        <is>
          <t>Every system should make it easier for the next person to do the right thing.</t>
        </is>
      </c>
    </row>
    <row r="5" ht="42" customHeight="1">
      <c r="A5" s="3" t="inlineStr">
        <is>
          <t>WHY WE'RE DIFFERENT</t>
        </is>
      </c>
      <c r="B5" s="4" t="inlineStr">
        <is>
          <t>Most systems manage work. PublicLogic helps steward what has to survive the work.</t>
        </is>
      </c>
    </row>
    <row r="6" ht="42" customHeight="1">
      <c r="A6" s="3" t="inlineStr">
        <is>
          <t>WHAT WE ARE</t>
        </is>
      </c>
      <c r="B6" s="4" t="inlineStr">
        <is>
          <t>PublicLogic applies Institutional Stewardship to help communities, public-sector organizations, and community-serving institutions move important projects from planning to implementation.</t>
        </is>
      </c>
    </row>
    <row r="7" ht="42" customHeight="1">
      <c r="A7" s="3" t="inlineStr">
        <is>
          <t>THE DISTINCTION</t>
        </is>
      </c>
      <c r="B7" s="4" t="inlineStr">
        <is>
          <t>Implementation is the service. Institutional Stewardship is the method. The market buys project delivery; PublicLogic delivers Institutional Stewardship. Both are true; neither is sacrificed for the other.</t>
        </is>
      </c>
    </row>
    <row r="8" ht="42" customHeight="1">
      <c r="A8" s="3" t="inlineStr">
        <is>
          <t>CLIENTS BUY / WE DELIVER</t>
        </is>
      </c>
      <c r="B8" s="4" t="inlineStr">
        <is>
          <t>Clients buy funding, progress, capacity, and execution. PublicLogic delivers Institutional Stewardship. That is not a contradiction — it is the business model.</t>
        </is>
      </c>
    </row>
    <row r="9" ht="42" customHeight="1">
      <c r="A9" s="3" t="inlineStr">
        <is>
          <t>WHAT WE ARE NOT</t>
        </is>
      </c>
      <c r="B9" s="4" t="inlineStr">
        <is>
          <t>Not a grant-writing firm. Not an AI consulting firm. Not a traditional planning firm. We don't produce reports or plans that sit on shelves.</t>
        </is>
      </c>
    </row>
    <row r="10" ht="42" customHeight="1">
      <c r="A10" s="3" t="inlineStr">
        <is>
          <t>POSITIONING STATEMENT</t>
        </is>
      </c>
      <c r="B10" s="4" t="inlineStr">
        <is>
          <t>PublicLogic helps communities, public-sector organizations, and community-serving institutions move important projects from planning to implementation. We do this through Institutional Stewardship — preserving, governing, transferring, and operationalizing the knowledge required for long-term success.</t>
        </is>
      </c>
    </row>
    <row r="11" ht="42" customHeight="1">
      <c r="A11" s="3" t="inlineStr">
        <is>
          <t>INSTITUTIONAL STEWARDSHIP (definition)</t>
        </is>
      </c>
      <c r="B11" s="4" t="inlineStr">
        <is>
          <t>The deliberate practice of preserving, governing, transferring, and operationalizing organizational knowledge so critical functions remain durable across turnover, changing priorities, and organizational change.</t>
        </is>
      </c>
    </row>
    <row r="12" ht="42" customHeight="1">
      <c r="A12" s="3" t="inlineStr">
        <is>
          <t>IN PLAIN TERMS</t>
        </is>
      </c>
      <c r="B12" s="4" t="inlineStr">
        <is>
          <t>Stewardship — caring for what must outlast any one person.   Continuity — the work keeps running through turnover.   Institutional memory — the organization remembers how and why.   Transfer — every engagement leaves reusable capability.   Why plans fail — capacity stops keeping pace with complexity.</t>
        </is>
      </c>
    </row>
    <row r="13" ht="42" customHeight="1">
      <c r="A13" s="3" t="inlineStr">
        <is>
          <t>SUCCESS STANDARD</t>
        </is>
      </c>
      <c r="B13" s="4" t="inlineStr">
        <is>
          <t>A successful engagement reduces future dependency. The organization becomes more capable; the process more durable; the knowledge more accessible.</t>
        </is>
      </c>
    </row>
    <row r="15">
      <c r="A15" s="5" t="inlineStr">
        <is>
          <t>HOW WE WORK</t>
        </is>
      </c>
      <c r="B15" s="6" t="inlineStr">
        <is>
          <t>Map   →   Embed   →   Encode   →   Sustain</t>
        </is>
      </c>
    </row>
    <row r="16">
      <c r="A16" s="7" t="inlineStr">
        <is>
          <t>Map</t>
        </is>
      </c>
      <c r="B16" s="8" t="inlineStr">
        <is>
          <t>Surface how the work actually happens — roles, knowledge, dependencies, risks.</t>
        </is>
      </c>
    </row>
    <row r="17">
      <c r="A17" s="7" t="inlineStr">
        <is>
          <t>Embed</t>
        </is>
      </c>
      <c r="B17" s="8" t="inlineStr">
        <is>
          <t>Put the right structure into the live workflow, alongside the people who do the work.</t>
        </is>
      </c>
    </row>
    <row r="18">
      <c r="A18" s="7" t="inlineStr">
        <is>
          <t>Encode</t>
        </is>
      </c>
      <c r="B18" s="8" t="inlineStr">
        <is>
          <t>Capture the knowledge and rules so they outlast any individual.</t>
        </is>
      </c>
    </row>
    <row r="19">
      <c r="A19" s="7" t="inlineStr">
        <is>
          <t>Sustain</t>
        </is>
      </c>
      <c r="B19" s="8" t="inlineStr">
        <is>
          <t>Monitor adoption and transfer ownership so it runs without 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0" customWidth="1" min="3" max="3"/>
    <col width="40" customWidth="1" min="4" max="4"/>
    <col width="40" customWidth="1" min="5" max="5"/>
  </cols>
  <sheetData>
    <row r="1">
      <c r="A1" s="9" t="inlineStr">
        <is>
          <t>Core Service Lines</t>
        </is>
      </c>
    </row>
    <row r="2">
      <c r="A2" s="10" t="inlineStr">
        <is>
          <t>Three services, one discipline. Stewardship objective shown per line.</t>
        </is>
      </c>
    </row>
    <row r="4">
      <c r="A4" s="11" t="inlineStr">
        <is>
          <t>Service</t>
        </is>
      </c>
      <c r="B4" s="11" t="inlineStr">
        <is>
          <t>Purpose</t>
        </is>
      </c>
      <c r="C4" s="11" t="inlineStr">
        <is>
          <t>Common Engagements</t>
        </is>
      </c>
      <c r="D4" s="11" t="inlineStr">
        <is>
          <t>Deliverables</t>
        </is>
      </c>
      <c r="E4" s="11" t="inlineStr">
        <is>
          <t>Stewardship Objective</t>
        </is>
      </c>
    </row>
    <row r="5">
      <c r="A5" s="8" t="inlineStr">
        <is>
          <t>Project Development</t>
        </is>
      </c>
      <c r="B5" s="8" t="inlineStr">
        <is>
          <t>Transform ideas, priorities, and challenges into actionable projects.</t>
        </is>
      </c>
      <c r="C5" s="8" t="inlineStr">
        <is>
          <t>Strategic initiatives · capital projects · community development · housing · infrastructure · program development</t>
        </is>
      </c>
      <c r="D5" s="8" t="inlineStr">
        <is>
          <t>Project Charter · Scope Definition · Stakeholder Map · Readiness Assessment · Action Roadmap</t>
        </is>
      </c>
      <c r="E5" s="8" t="inlineStr">
        <is>
          <t>Create clarity before resources are committed.</t>
        </is>
      </c>
    </row>
    <row r="6">
      <c r="A6" s="8" t="inlineStr">
        <is>
          <t>Funding Strategy</t>
        </is>
      </c>
      <c r="B6" s="8" t="inlineStr">
        <is>
          <t>Identify, organize, and pursue sustainable funding opportunities.</t>
        </is>
      </c>
      <c r="C6" s="8" t="inlineStr">
        <is>
          <t>Grant development · capital planning · funding roadmaps · partnership development · revenue strategy</t>
        </is>
      </c>
      <c r="D6" s="8" t="inlineStr">
        <is>
          <t>Funding Scan · Funding Roadmap · Application Support · Capital Strategy · Partner Coordination</t>
        </is>
      </c>
      <c r="E6" s="8" t="inlineStr">
        <is>
          <t>Align funding with long-term organizational capacity.</t>
        </is>
      </c>
    </row>
    <row r="7">
      <c r="A7" s="8" t="inlineStr">
        <is>
          <t>Implementation Support</t>
        </is>
      </c>
      <c r="B7" s="8" t="inlineStr">
        <is>
          <t>Move projects from planning into execution.</t>
        </is>
      </c>
      <c r="C7" s="8" t="inlineStr">
        <is>
          <t>Strategic-plan implementation · capital project coordination · program launch · community engagement · readiness</t>
        </is>
      </c>
      <c r="D7" s="8" t="inlineStr">
        <is>
          <t>Implementation Framework · Accountability Structure · Progress Tracking · Facilitation · Stakeholder Coordination</t>
        </is>
      </c>
      <c r="E7" s="8" t="inlineStr">
        <is>
          <t>Ensure important work survives beyond its initial champions.</t>
        </is>
      </c>
    </row>
    <row r="8">
      <c r="A8" s="8" t="inlineStr">
        <is>
          <t>Capacity Support</t>
        </is>
      </c>
      <c r="B8" s="8" t="inlineStr">
        <is>
          <t>Provide the institutional capacity to carry the work — directly.</t>
        </is>
      </c>
      <c r="C8" s="8" t="inlineStr">
        <is>
          <t>Interim / fractional support · special-project support · administrative capacity · program coordination  (Swanzey · Hubbardston · Sutton · Michigan LTC)</t>
        </is>
      </c>
      <c r="D8" s="8" t="inlineStr">
        <is>
          <t>Embedded Capacity Plan · Role / Coverage Map · Coordination Cadence · Continuity Handoff</t>
        </is>
      </c>
      <c r="E8" s="8" t="inlineStr">
        <is>
          <t>Hold the Chair so critical functions stay covered through turnover and transition.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34" customWidth="1" min="3" max="3"/>
    <col width="32" customWidth="1" min="4" max="4"/>
    <col width="22" customWidth="1" min="5" max="5"/>
    <col width="15" customWidth="1" min="6" max="6"/>
    <col width="14" customWidth="1" min="7" max="7"/>
  </cols>
  <sheetData>
    <row r="1">
      <c r="A1" s="9" t="inlineStr">
        <is>
          <t>Signature Offerings</t>
        </is>
      </c>
    </row>
    <row r="2">
      <c r="A2" s="10" t="inlineStr">
        <is>
          <t>Three ways to start. Yellow = fill in scope, duration, and fee per engagement.</t>
        </is>
      </c>
    </row>
    <row r="4">
      <c r="A4" s="11" t="inlineStr">
        <is>
          <t>Offering</t>
        </is>
      </c>
      <c r="B4" s="11" t="inlineStr">
        <is>
          <t>Purpose</t>
        </is>
      </c>
      <c r="C4" s="11" t="inlineStr">
        <is>
          <t>Output</t>
        </is>
      </c>
      <c r="D4" s="11" t="inlineStr">
        <is>
          <t>Transfer Asset Created</t>
        </is>
      </c>
      <c r="E4" s="11" t="inlineStr">
        <is>
          <t>Scope (fill)</t>
        </is>
      </c>
      <c r="F4" s="11" t="inlineStr">
        <is>
          <t>Duration (fill)</t>
        </is>
      </c>
      <c r="G4" s="11" t="inlineStr">
        <is>
          <t>Fee (fill)</t>
        </is>
      </c>
    </row>
    <row r="5">
      <c r="A5" s="8" t="inlineStr">
        <is>
          <t>Project Development Sprint</t>
        </is>
      </c>
      <c r="B5" s="8" t="inlineStr">
        <is>
          <t>Move an idea into an actionable project.</t>
        </is>
      </c>
      <c r="C5" s="8" t="inlineStr">
        <is>
          <t>Project Development Roadmap</t>
        </is>
      </c>
      <c r="D5" s="8" t="inlineStr">
        <is>
          <t>CaseSpace + reusable Charter/Scope template</t>
        </is>
      </c>
      <c r="E5" s="12" t="inlineStr"/>
      <c r="F5" s="12" t="inlineStr"/>
      <c r="G5" s="12" t="inlineStr"/>
    </row>
    <row r="6">
      <c r="A6" s="8" t="inlineStr">
        <is>
          <t>Funding Strategy Sprint</t>
        </is>
      </c>
      <c r="B6" s="8" t="inlineStr">
        <is>
          <t>Identify realistic funding pathways and readiness requirements.</t>
        </is>
      </c>
      <c r="C6" s="8" t="inlineStr">
        <is>
          <t>Funding Roadmap</t>
        </is>
      </c>
      <c r="D6" s="8" t="inlineStr">
        <is>
          <t>Reusable funding scan + roadmap workbook</t>
        </is>
      </c>
      <c r="E6" s="12" t="inlineStr"/>
      <c r="F6" s="12" t="inlineStr"/>
      <c r="G6" s="12" t="inlineStr"/>
    </row>
    <row r="7">
      <c r="A7" s="8" t="inlineStr">
        <is>
          <t>Implementation Support Partnership</t>
        </is>
      </c>
      <c r="B7" s="8" t="inlineStr">
        <is>
          <t>Provide coordination and stewardship capacity through implementation.</t>
        </is>
      </c>
      <c r="C7" s="8" t="inlineStr">
        <is>
          <t>Implementation Framework + Accountability Structure</t>
        </is>
      </c>
      <c r="D7" s="8" t="inlineStr">
        <is>
          <t>VAULT continuity record + accountability structure</t>
        </is>
      </c>
      <c r="E7" s="12" t="inlineStr"/>
      <c r="F7" s="12" t="inlineStr"/>
      <c r="G7" s="12" t="inlineStr"/>
    </row>
    <row r="8">
      <c r="A8" s="8" t="inlineStr">
        <is>
          <t>Capacity Support Engagement</t>
        </is>
      </c>
      <c r="B8" s="8" t="inlineStr">
        <is>
          <t>Provide interim / fractional capacity to carry a function or special project.</t>
        </is>
      </c>
      <c r="C8" s="8" t="inlineStr">
        <is>
          <t>Embedded Capacity Plan + Continuity Handoff</t>
        </is>
      </c>
      <c r="D8" s="8" t="inlineStr">
        <is>
          <t>Role/Coverage Map + Continuity Handoff</t>
        </is>
      </c>
      <c r="E8" s="12" t="inlineStr"/>
      <c r="F8" s="12" t="inlineStr"/>
      <c r="G8" s="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52" customWidth="1" min="3" max="3"/>
  </cols>
  <sheetData>
    <row r="1">
      <c r="A1" s="9" t="inlineStr">
        <is>
          <t>The Nathan + Allie Model</t>
        </is>
      </c>
    </row>
    <row r="2">
      <c r="A2" s="10" t="inlineStr">
        <is>
          <t>Institutional systems and human systems are interdependent — projects fail when either is ignored.</t>
        </is>
      </c>
    </row>
    <row r="4">
      <c r="A4" s="11" t="inlineStr"/>
      <c r="B4" s="11" t="inlineStr">
        <is>
          <t>Nathan — Institutional Systems</t>
        </is>
      </c>
      <c r="C4" s="11" t="inlineStr">
        <is>
          <t>Allie — Human Systems</t>
        </is>
      </c>
    </row>
    <row r="5">
      <c r="A5" s="8" t="inlineStr">
        <is>
          <t>Expertise</t>
        </is>
      </c>
      <c r="B5" s="8" t="inlineStr">
        <is>
          <t>Municipal administration · finance · capital planning · procurement · grants · economic development · governance · project delivery</t>
        </is>
      </c>
      <c r="C5" s="8" t="inlineStr">
        <is>
          <t>Organizational readiness · stakeholder engagement · leadership development · program design · evaluation · behavioral systems · change management</t>
        </is>
      </c>
    </row>
    <row r="6">
      <c r="A6" s="8" t="inlineStr">
        <is>
          <t>Experience</t>
        </is>
      </c>
      <c r="B6" s="8" t="inlineStr">
        <is>
          <t>Town Administrator · City Councilor · Town Clerk · Consultant</t>
        </is>
      </c>
      <c r="C6" s="8" t="inlineStr">
        <is>
          <t>Clinical leadership · organizational consulting · program development · workforce systems</t>
        </is>
      </c>
    </row>
    <row r="7">
      <c r="A7" s="8" t="inlineStr">
        <is>
          <t>The pairing</t>
        </is>
      </c>
      <c r="B7" s="8" t="inlineStr">
        <is>
          <t>Most firms understand systems OR people.</t>
        </is>
      </c>
      <c r="C7" s="8" t="inlineStr">
        <is>
          <t>PublicLogic is designed to understand both.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30" customWidth="1" min="3" max="3"/>
  </cols>
  <sheetData>
    <row r="1">
      <c r="A1" s="9" t="inlineStr">
        <is>
          <t>Transfer Assets</t>
        </is>
      </c>
    </row>
    <row r="2">
      <c r="A2" s="10" t="inlineStr">
        <is>
          <t>A core principle of stewardship: every engagement creates reusable organizational assets.</t>
        </is>
      </c>
    </row>
    <row r="4">
      <c r="A4" s="11" t="inlineStr">
        <is>
          <t>Asset</t>
        </is>
      </c>
      <c r="B4" s="11" t="inlineStr">
        <is>
          <t>What it is</t>
        </is>
      </c>
      <c r="C4" s="11" t="inlineStr">
        <is>
          <t>Leaves the client with</t>
        </is>
      </c>
    </row>
    <row r="5">
      <c r="A5" s="8" t="inlineStr">
        <is>
          <t>LogicCommons</t>
        </is>
      </c>
      <c r="B5" s="8" t="inlineStr">
        <is>
          <t>Shared frameworks, templates, and operational resources.</t>
        </is>
      </c>
      <c r="C5" s="8" t="inlineStr">
        <is>
          <t>Reusable standards</t>
        </is>
      </c>
    </row>
    <row r="6">
      <c r="A6" s="8" t="inlineStr">
        <is>
          <t>Workbooks</t>
        </is>
      </c>
      <c r="B6" s="8" t="inlineStr">
        <is>
          <t>Structured implementation and planning guides.</t>
        </is>
      </c>
      <c r="C6" s="8" t="inlineStr">
        <is>
          <t>Repeatable process</t>
        </is>
      </c>
    </row>
    <row r="7">
      <c r="A7" s="8" t="inlineStr">
        <is>
          <t>CaseSpaces</t>
        </is>
      </c>
      <c r="B7" s="8" t="inlineStr">
        <is>
          <t>Project-specific operating environments.</t>
        </is>
      </c>
      <c r="C7" s="8" t="inlineStr">
        <is>
          <t>A governed record</t>
        </is>
      </c>
    </row>
    <row r="8">
      <c r="A8" s="8" t="inlineStr">
        <is>
          <t>PuddleJumper</t>
        </is>
      </c>
      <c r="B8" s="8" t="inlineStr">
        <is>
          <t>Process architecture and workflow infrastructure.</t>
        </is>
      </c>
      <c r="C8" s="8" t="inlineStr">
        <is>
          <t>Operating continuity</t>
        </is>
      </c>
    </row>
    <row r="9">
      <c r="A9" s="8" t="inlineStr">
        <is>
          <t>VAULT</t>
        </is>
      </c>
      <c r="B9" s="8" t="inlineStr">
        <is>
          <t>Knowledge preservation and continuity framework.</t>
        </is>
      </c>
      <c r="C9" s="8" t="inlineStr">
        <is>
          <t>Durability across turnover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2" customWidth="1" min="3" max="3"/>
    <col width="44" customWidth="1" min="4" max="4"/>
  </cols>
  <sheetData>
    <row r="1">
      <c r="A1" s="9" t="inlineStr">
        <is>
          <t>Proof — Evidence of Stewardship</t>
        </is>
      </c>
    </row>
    <row r="2">
      <c r="A2" s="10" t="inlineStr">
        <is>
          <t>Stewardship is provable, not just stated. Five kinds of proof, each tied to a real engagement.</t>
        </is>
      </c>
    </row>
    <row r="4">
      <c r="A4" s="11" t="inlineStr">
        <is>
          <t>Proof</t>
        </is>
      </c>
      <c r="B4" s="11" t="inlineStr">
        <is>
          <t>What it demonstrates to a buyer</t>
        </is>
      </c>
      <c r="C4" s="11" t="inlineStr">
        <is>
          <t>How we show it</t>
        </is>
      </c>
      <c r="D4" s="11" t="inlineStr">
        <is>
          <t>Example</t>
        </is>
      </c>
    </row>
    <row r="5">
      <c r="A5" s="8" t="inlineStr">
        <is>
          <t>Continuity proof</t>
        </is>
      </c>
      <c r="B5" s="8" t="inlineStr">
        <is>
          <t>A function survives when the person who ran it leaves.</t>
        </is>
      </c>
      <c r="C5" s="8" t="inlineStr">
        <is>
          <t>Successor test + VAULT modules mapped to authority and stop-rules.</t>
        </is>
      </c>
      <c r="D5" s="8" t="inlineStr">
        <is>
          <t>Sutton TIF — the 30-day successor test the town would otherwise fail.</t>
        </is>
      </c>
    </row>
    <row r="6">
      <c r="A6" s="8" t="inlineStr">
        <is>
          <t>Record proof</t>
        </is>
      </c>
      <c r="B6" s="8" t="inlineStr">
        <is>
          <t>Every claim, number, and decision traces to a source.</t>
        </is>
      </c>
      <c r="C6" s="8" t="inlineStr">
        <is>
          <t>CaseSpace + Source Register: source file → workbook row → output.</t>
        </is>
      </c>
      <c r="D6" s="8" t="inlineStr">
        <is>
          <t>Michigan LTC corridor record — line-for-line traceability.</t>
        </is>
      </c>
    </row>
    <row r="7">
      <c r="A7" s="8" t="inlineStr">
        <is>
          <t>Readiness proof</t>
        </is>
      </c>
      <c r="B7" s="8" t="inlineStr">
        <is>
          <t>The organization can absorb and sustain the change.</t>
        </is>
      </c>
      <c r="C7" s="8" t="inlineStr">
        <is>
          <t>Readiness Assessment + the Map deliverable before any build.</t>
        </is>
      </c>
      <c r="D7" s="8" t="inlineStr">
        <is>
          <t>Pre-build assessment that sequences what the org can actually carry.</t>
        </is>
      </c>
    </row>
    <row r="8">
      <c r="A8" s="8" t="inlineStr">
        <is>
          <t>Adoption proof</t>
        </is>
      </c>
      <c r="B8" s="8" t="inlineStr">
        <is>
          <t>Staff actually use the system — not just receive it.</t>
        </is>
      </c>
      <c r="C8" s="8" t="inlineStr">
        <is>
          <t>CFIR-structured adoption monitoring through implementation.</t>
        </is>
      </c>
      <c r="D8" s="8" t="inlineStr">
        <is>
          <t>Shrewsbury — human-systems support so the build is used, not shelved.</t>
        </is>
      </c>
    </row>
    <row r="9">
      <c r="A9" s="8" t="inlineStr">
        <is>
          <t>Outcome proof</t>
        </is>
      </c>
      <c r="B9" s="8" t="inlineStr">
        <is>
          <t>The work moved forward and got funded.</t>
        </is>
      </c>
      <c r="C9" s="8" t="inlineStr">
        <is>
          <t>Funded applications + delivered projects, documented.</t>
        </is>
      </c>
      <c r="D9" s="8" t="inlineStr">
        <is>
          <t>Shrewsbury fiber, Sutton — funding secured and projects implemented.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8" customWidth="1" min="4" max="4"/>
    <col width="16" customWidth="1" min="5" max="5"/>
    <col width="11" customWidth="1" min="6" max="6"/>
    <col width="16" customWidth="1" min="7" max="7"/>
    <col width="28" customWidth="1" min="8" max="8"/>
  </cols>
  <sheetData>
    <row r="1">
      <c r="A1" s="9" t="inlineStr">
        <is>
          <t>Target Pipeline &amp; Engagement Flow</t>
        </is>
      </c>
    </row>
    <row r="2">
      <c r="A2" s="10" t="inlineStr">
        <is>
          <t>A decision tool, not a list. Fill yellow cells; Weighted Value = Revenue x Probability. Sort to rank.</t>
        </is>
      </c>
    </row>
    <row r="4">
      <c r="A4" s="11" t="inlineStr">
        <is>
          <t>Segment</t>
        </is>
      </c>
      <c r="B4" s="11" t="inlineStr">
        <is>
          <t>Target</t>
        </is>
      </c>
      <c r="C4" s="11" t="inlineStr">
        <is>
          <t>Authority to Buy</t>
        </is>
      </c>
      <c r="D4" s="11" t="inlineStr">
        <is>
          <t>Relationship</t>
        </is>
      </c>
      <c r="E4" s="11" t="inlineStr">
        <is>
          <t>Revenue Potential ($)</t>
        </is>
      </c>
      <c r="F4" s="11" t="inlineStr">
        <is>
          <t>Probability</t>
        </is>
      </c>
      <c r="G4" s="11" t="inlineStr">
        <is>
          <t>Weighted Value ($)</t>
        </is>
      </c>
      <c r="H4" s="11" t="inlineStr">
        <is>
          <t>Next Action</t>
        </is>
      </c>
    </row>
    <row r="5">
      <c r="A5" s="8" t="inlineStr">
        <is>
          <t>Regional Planning Agencies</t>
        </is>
      </c>
      <c r="B5" s="8" t="inlineStr">
        <is>
          <t>CMRPC</t>
        </is>
      </c>
      <c r="C5" s="12" t="inlineStr">
        <is>
          <t>Yes — active contracts &amp; pipelines</t>
        </is>
      </c>
      <c r="D5" s="12" t="inlineStr">
        <is>
          <t>Developing</t>
        </is>
      </c>
      <c r="E5" s="13" t="inlineStr"/>
      <c r="F5" s="14" t="inlineStr"/>
      <c r="G5" s="15">
        <f>IF(AND(ISNUMBER(E5),ISNUMBER(F5)),E5*F5,0)</f>
        <v/>
      </c>
    </row>
    <row r="6">
      <c r="A6" s="8" t="inlineStr">
        <is>
          <t>Regional Planning Agencies</t>
        </is>
      </c>
      <c r="B6" s="8" t="inlineStr">
        <is>
          <t>MRPC</t>
        </is>
      </c>
      <c r="C6" s="12" t="inlineStr">
        <is>
          <t>Yes — active pipelines</t>
        </is>
      </c>
      <c r="D6" s="12" t="inlineStr">
        <is>
          <t>Developing</t>
        </is>
      </c>
      <c r="E6" s="13" t="inlineStr"/>
      <c r="F6" s="14" t="inlineStr"/>
      <c r="G6" s="15">
        <f>IF(AND(ISNUMBER(E6),ISNUMBER(F6)),E6*F6,0)</f>
        <v/>
      </c>
    </row>
    <row r="7">
      <c r="A7" s="8" t="inlineStr">
        <is>
          <t>Regional Planning Agencies</t>
        </is>
      </c>
      <c r="B7" s="8" t="inlineStr">
        <is>
          <t>MVPC</t>
        </is>
      </c>
      <c r="C7" s="12" t="inlineStr">
        <is>
          <t>Yes — project pipelines</t>
        </is>
      </c>
      <c r="D7" s="12" t="inlineStr">
        <is>
          <t>Cold</t>
        </is>
      </c>
      <c r="E7" s="13" t="inlineStr"/>
      <c r="F7" s="14" t="inlineStr"/>
      <c r="G7" s="15">
        <f>IF(AND(ISNUMBER(E7),ISNUMBER(F7)),E7*F7,0)</f>
        <v/>
      </c>
    </row>
    <row r="8">
      <c r="A8" s="8" t="inlineStr">
        <is>
          <t>Regional Planning Agencies</t>
        </is>
      </c>
      <c r="B8" s="8" t="inlineStr">
        <is>
          <t>Strafford RPC</t>
        </is>
      </c>
      <c r="C8" s="12" t="inlineStr">
        <is>
          <t>Yes</t>
        </is>
      </c>
      <c r="D8" s="12" t="inlineStr">
        <is>
          <t>Cold</t>
        </is>
      </c>
      <c r="E8" s="13" t="inlineStr"/>
      <c r="F8" s="14" t="inlineStr"/>
      <c r="G8" s="15">
        <f>IF(AND(ISNUMBER(E8),ISNUMBER(F8)),E8*F8,0)</f>
        <v/>
      </c>
    </row>
    <row r="9">
      <c r="A9" s="8" t="inlineStr">
        <is>
          <t>Engineering Firms</t>
        </is>
      </c>
      <c r="B9" s="8" t="inlineStr">
        <is>
          <t>Fuss &amp; O'Neill</t>
        </is>
      </c>
      <c r="C9" s="12" t="inlineStr">
        <is>
          <t>Yes — buys as sub/teaming</t>
        </is>
      </c>
      <c r="D9" s="12" t="inlineStr">
        <is>
          <t>Cold</t>
        </is>
      </c>
      <c r="E9" s="13" t="inlineStr"/>
      <c r="F9" s="14" t="inlineStr"/>
      <c r="G9" s="15">
        <f>IF(AND(ISNUMBER(E9),ISNUMBER(F9)),E9*F9,0)</f>
        <v/>
      </c>
    </row>
    <row r="10">
      <c r="A10" s="8" t="inlineStr">
        <is>
          <t>Engineering Firms</t>
        </is>
      </c>
      <c r="B10" s="8" t="inlineStr">
        <is>
          <t>Weston &amp; Sampson</t>
        </is>
      </c>
      <c r="C10" s="12" t="inlineStr">
        <is>
          <t>Yes — teaming</t>
        </is>
      </c>
      <c r="D10" s="12" t="inlineStr">
        <is>
          <t>Cold</t>
        </is>
      </c>
      <c r="E10" s="13" t="inlineStr"/>
      <c r="F10" s="14" t="inlineStr"/>
      <c r="G10" s="15">
        <f>IF(AND(ISNUMBER(E10),ISNUMBER(F10)),E10*F10,0)</f>
        <v/>
      </c>
    </row>
    <row r="11">
      <c r="A11" s="8" t="inlineStr">
        <is>
          <t>Engineering Firms</t>
        </is>
      </c>
      <c r="B11" s="8" t="inlineStr">
        <is>
          <t>Tighe &amp; Bond</t>
        </is>
      </c>
      <c r="C11" s="12" t="inlineStr">
        <is>
          <t>Yes — teaming</t>
        </is>
      </c>
      <c r="D11" s="12" t="inlineStr">
        <is>
          <t>Cold</t>
        </is>
      </c>
      <c r="E11" s="13" t="inlineStr"/>
      <c r="F11" s="14" t="inlineStr"/>
      <c r="G11" s="15">
        <f>IF(AND(ISNUMBER(E11),ISNUMBER(F11)),E11*F11,0)</f>
        <v/>
      </c>
    </row>
    <row r="12">
      <c r="A12" s="8" t="inlineStr">
        <is>
          <t>Engineering Firms</t>
        </is>
      </c>
      <c r="B12" s="8" t="inlineStr">
        <is>
          <t>BETA</t>
        </is>
      </c>
      <c r="C12" s="12" t="inlineStr">
        <is>
          <t>Yes — teaming</t>
        </is>
      </c>
      <c r="D12" s="12" t="inlineStr">
        <is>
          <t>Cold</t>
        </is>
      </c>
      <c r="E12" s="13" t="inlineStr"/>
      <c r="F12" s="14" t="inlineStr"/>
      <c r="G12" s="15">
        <f>IF(AND(ISNUMBER(E12),ISNUMBER(F12)),E12*F12,0)</f>
        <v/>
      </c>
    </row>
    <row r="13">
      <c r="A13" s="8" t="inlineStr">
        <is>
          <t>Municipal Consulting</t>
        </is>
      </c>
      <c r="B13" s="8" t="inlineStr">
        <is>
          <t>Community Paradigm (+ similar)</t>
        </is>
      </c>
      <c r="C13" s="12" t="inlineStr">
        <is>
          <t>Yes — subcontract</t>
        </is>
      </c>
      <c r="D13" s="12" t="inlineStr">
        <is>
          <t>Cold</t>
        </is>
      </c>
      <c r="E13" s="13" t="inlineStr"/>
      <c r="F13" s="14" t="inlineStr"/>
      <c r="G13" s="15">
        <f>IF(AND(ISNUMBER(E13),ISNUMBER(F13)),E13*F13,0)</f>
        <v/>
      </c>
    </row>
    <row r="14">
      <c r="A14" s="8" t="inlineStr">
        <is>
          <t>Municipalities</t>
        </is>
      </c>
      <c r="B14" s="8" t="inlineStr">
        <is>
          <t>Direct (by relationship)</t>
        </is>
      </c>
      <c r="C14" s="12" t="inlineStr">
        <is>
          <t>Yes — direct budget</t>
        </is>
      </c>
      <c r="D14" s="12" t="inlineStr">
        <is>
          <t>Warm — existing (Sutton/Shrewsbury/Phillipston)</t>
        </is>
      </c>
      <c r="E14" s="13" t="inlineStr"/>
      <c r="F14" s="14" t="inlineStr"/>
      <c r="G14" s="15">
        <f>IF(AND(ISNUMBER(E14),ISNUMBER(F14)),E14*F14,0)</f>
        <v/>
      </c>
    </row>
    <row r="15">
      <c r="A15" s="8" t="inlineStr">
        <is>
          <t>Existing Network</t>
        </is>
      </c>
      <c r="B15" s="8" t="inlineStr">
        <is>
          <t>Warm relationships</t>
        </is>
      </c>
      <c r="C15" s="12" t="inlineStr">
        <is>
          <t>Varies</t>
        </is>
      </c>
      <c r="D15" s="12" t="inlineStr">
        <is>
          <t>Strong — warmest, shortest cycle</t>
        </is>
      </c>
      <c r="E15" s="13" t="inlineStr"/>
      <c r="F15" s="14" t="inlineStr"/>
      <c r="G15" s="15">
        <f>IF(AND(ISNUMBER(E15),ISNUMBER(F15)),E15*F15,0)</f>
        <v/>
      </c>
    </row>
    <row r="17">
      <c r="A17" s="16" t="inlineStr">
        <is>
          <t>How to use: enter Revenue Potential ($) and Probability (%) for each target; Weighted Value computes automatically; sort the table by Weighted Value descending to rank. Then commit to the top 5 for the month.</t>
        </is>
      </c>
    </row>
    <row r="18"/>
    <row r="19">
      <c r="A19" s="17" t="inlineStr">
        <is>
          <t>BD principle: don't convince organizations they have a hidden problem — help them solve a known one. Lead with capacity, funding, progress, execution. Warmest relationships first (shortest sales cycle).</t>
        </is>
      </c>
    </row>
    <row r="20"/>
    <row r="22">
      <c r="A22" s="5" t="inlineStr">
        <is>
          <t>ENGAGEMENT FLOW</t>
        </is>
      </c>
      <c r="B22" s="6" t="inlineStr">
        <is>
          <t>Signal → Fit → Map → Build → Sustain → Prove</t>
        </is>
      </c>
    </row>
    <row r="23">
      <c r="A23" s="18" t="inlineStr">
        <is>
          <t>Signal</t>
        </is>
      </c>
      <c r="B23" s="8" t="inlineStr">
        <is>
          <t>A known trigger: turnover, a stalled project, a funding deadline, a capacity gap.</t>
        </is>
      </c>
      <c r="C23" s="19" t="n"/>
      <c r="D23" s="19" t="n"/>
      <c r="E23" s="19" t="n"/>
      <c r="F23" s="19" t="n"/>
      <c r="G23" s="19" t="n"/>
      <c r="H23" s="20" t="n"/>
    </row>
    <row r="24">
      <c r="A24" s="18" t="inlineStr">
        <is>
          <t>Fit</t>
        </is>
      </c>
      <c r="B24" s="8" t="inlineStr">
        <is>
          <t>Confirm authority, budget, and that it is a known problem we solve.</t>
        </is>
      </c>
      <c r="C24" s="19" t="n"/>
      <c r="D24" s="19" t="n"/>
      <c r="E24" s="19" t="n"/>
      <c r="F24" s="19" t="n"/>
      <c r="G24" s="19" t="n"/>
      <c r="H24" s="20" t="n"/>
    </row>
    <row r="25">
      <c r="A25" s="18" t="inlineStr">
        <is>
          <t>Map</t>
        </is>
      </c>
      <c r="B25" s="8" t="inlineStr">
        <is>
          <t>A paid scoping engagement — diagnosis + roadmap (the entry move).</t>
        </is>
      </c>
      <c r="C25" s="19" t="n"/>
      <c r="D25" s="19" t="n"/>
      <c r="E25" s="19" t="n"/>
      <c r="F25" s="19" t="n"/>
      <c r="G25" s="19" t="n"/>
      <c r="H25" s="20" t="n"/>
    </row>
    <row r="26">
      <c r="A26" s="18" t="inlineStr">
        <is>
          <t>Build</t>
        </is>
      </c>
      <c r="B26" s="8" t="inlineStr">
        <is>
          <t>Deliver the project, funding, implementation, or capacity work.</t>
        </is>
      </c>
      <c r="C26" s="19" t="n"/>
      <c r="D26" s="19" t="n"/>
      <c r="E26" s="19" t="n"/>
      <c r="F26" s="19" t="n"/>
      <c r="G26" s="19" t="n"/>
      <c r="H26" s="20" t="n"/>
    </row>
    <row r="27">
      <c r="A27" s="18" t="inlineStr">
        <is>
          <t>Sustain</t>
        </is>
      </c>
      <c r="B27" s="8" t="inlineStr">
        <is>
          <t>Transfer ownership; optional capacity / retainer so it runs without us.</t>
        </is>
      </c>
      <c r="C27" s="19" t="n"/>
      <c r="D27" s="19" t="n"/>
      <c r="E27" s="19" t="n"/>
      <c r="F27" s="19" t="n"/>
      <c r="G27" s="19" t="n"/>
      <c r="H27" s="20" t="n"/>
    </row>
    <row r="28">
      <c r="A28" s="18" t="inlineStr">
        <is>
          <t>Prove</t>
        </is>
      </c>
      <c r="B28" s="8" t="inlineStr">
        <is>
          <t>Capture the evidence (Proof tab) — which becomes the next Signal.</t>
        </is>
      </c>
      <c r="C28" s="19" t="n"/>
      <c r="D28" s="19" t="n"/>
      <c r="E28" s="19" t="n"/>
      <c r="F28" s="19" t="n"/>
      <c r="G28" s="19" t="n"/>
      <c r="H28" s="20" t="n"/>
    </row>
  </sheetData>
  <mergeCells count="8">
    <mergeCell ref="A17:H18"/>
    <mergeCell ref="B26:H26"/>
    <mergeCell ref="B27:H27"/>
    <mergeCell ref="B24:H24"/>
    <mergeCell ref="A19:H20"/>
    <mergeCell ref="B25:H25"/>
    <mergeCell ref="B28:H28"/>
    <mergeCell ref="B23:H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9" t="inlineStr">
        <is>
          <t>Lessons Learned · AI for Impact</t>
        </is>
      </c>
    </row>
    <row r="2">
      <c r="A2" s="10" t="inlineStr">
        <is>
          <t>People buy outcomes. The methodology matters, but outcomes drive the purchasing decision.</t>
        </is>
      </c>
    </row>
    <row r="4">
      <c r="A4" s="11" t="inlineStr">
        <is>
          <t>What we thought they wanted</t>
        </is>
      </c>
      <c r="B4" s="11" t="inlineStr">
        <is>
          <t>What they actually want</t>
        </is>
      </c>
    </row>
    <row r="5">
      <c r="A5" s="8" t="inlineStr">
        <is>
          <t>AI</t>
        </is>
      </c>
      <c r="B5" s="8" t="inlineStr">
        <is>
          <t>Capacity</t>
        </is>
      </c>
    </row>
    <row r="6">
      <c r="A6" s="8" t="inlineStr">
        <is>
          <t>Innovation</t>
        </is>
      </c>
      <c r="B6" s="8" t="inlineStr">
        <is>
          <t>Funding</t>
        </is>
      </c>
    </row>
    <row r="7">
      <c r="A7" s="8" t="inlineStr">
        <is>
          <t>Readiness</t>
        </is>
      </c>
      <c r="B7" s="8" t="inlineStr">
        <is>
          <t>Progress</t>
        </is>
      </c>
    </row>
    <row r="8">
      <c r="A8" s="8" t="inlineStr">
        <is>
          <t>Transformation</t>
        </is>
      </c>
      <c r="B8" s="8" t="inlineStr">
        <is>
          <t>Execution</t>
        </is>
      </c>
    </row>
    <row r="10">
      <c r="A10" s="21" t="inlineStr">
        <is>
          <t>Key insight: lead with the known problem, not a hidden one. The method (Institutional Stewardship) is how we deliver — outcomes are why they buy.</t>
        </is>
      </c>
    </row>
    <row r="11"/>
  </sheetData>
  <mergeCells count="1">
    <mergeCell ref="A10:B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The PublicLogic Promise</t>
        </is>
      </c>
    </row>
    <row r="4" ht="30" customHeight="1">
      <c r="A4" s="22" t="inlineStr">
        <is>
          <t>PublicLogic is not in the business of producing reports.</t>
        </is>
      </c>
    </row>
    <row r="5" ht="30" customHeight="1">
      <c r="A5" s="22" t="inlineStr">
        <is>
          <t>PublicLogic is not in the business of producing plans that sit on shelves.</t>
        </is>
      </c>
    </row>
    <row r="6" ht="30" customHeight="1">
      <c r="A6" s="22" t="inlineStr">
        <is>
          <t>PublicLogic is in the business of helping organizations move important work forward — while ensuring the knowledge, systems, and structures required to sustain that work remain intact.</t>
        </is>
      </c>
    </row>
    <row r="7" ht="30" customHeight="1">
      <c r="A7" s="23" t="inlineStr"/>
    </row>
    <row r="8" ht="30" customHeight="1">
      <c r="A8" s="21" t="inlineStr">
        <is>
          <t>Internal strategic principle:</t>
        </is>
      </c>
    </row>
    <row r="9" ht="30" customHeight="1">
      <c r="A9" s="22" t="inlineStr">
        <is>
          <t>The market buys project delivery. PublicLogic delivers Institutional Stewardship. Both statements are true. Neither should be sacrificed for the other.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2026-06-09T08:52:42Z</dcterms:created>
  <dcterms:modified xmlns:dcterms="http://purl.org/dc/terms/" xmlns:xsi="http://www.w3.org/2001/XMLSchema-instance" xsi:type="dcterms:W3CDTF">2026-06-09T08:52:42Z</dcterms:modified>
</cp:coreProperties>
</file>